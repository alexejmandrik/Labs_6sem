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Labs_6\Экономика\"/>
    </mc:Choice>
  </mc:AlternateContent>
  <xr:revisionPtr revIDLastSave="0" documentId="13_ncr:1_{A6681DF5-F0BF-492A-9981-B6D861E430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Исх данные и решение" sheetId="2" r:id="rId1"/>
    <sheet name="Порядок работы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2" i="2" l="1"/>
  <c r="K29" i="2"/>
  <c r="K27" i="2"/>
  <c r="K25" i="2"/>
  <c r="K28" i="2" l="1"/>
  <c r="K30" i="2" s="1"/>
  <c r="K26" i="2"/>
  <c r="K24" i="2"/>
  <c r="K22" i="2"/>
  <c r="K21" i="2"/>
  <c r="K20" i="2"/>
  <c r="K17" i="2"/>
  <c r="K19" i="2"/>
  <c r="K18" i="2"/>
  <c r="K31" i="2" l="1"/>
</calcChain>
</file>

<file path=xl/sharedStrings.xml><?xml version="1.0" encoding="utf-8"?>
<sst xmlns="http://schemas.openxmlformats.org/spreadsheetml/2006/main" count="59" uniqueCount="53">
  <si>
    <t>Определите прирост рентабельности производства</t>
  </si>
  <si>
    <t>Методические указания</t>
  </si>
  <si>
    <t>Рост РП на конец года, %</t>
  </si>
  <si>
    <t>Показатели</t>
  </si>
  <si>
    <t xml:space="preserve">Варианты </t>
  </si>
  <si>
    <t>ФЕнач года, руб/руб</t>
  </si>
  <si>
    <t>Задание</t>
  </si>
  <si>
    <r>
      <t xml:space="preserve">Задание. </t>
    </r>
    <r>
      <rPr>
        <sz val="14"/>
        <color rgb="FFC00000"/>
        <rFont val="Calibri"/>
        <family val="2"/>
        <charset val="204"/>
        <scheme val="minor"/>
      </rPr>
      <t>Определите прирост рентабельности производства</t>
    </r>
  </si>
  <si>
    <t>Условно-постоянные расходы (УПР) нач года, млн. руб.</t>
  </si>
  <si>
    <t>Доля УПР в себестоимости продукции, %</t>
  </si>
  <si>
    <t>Реализованная продукция (РП) нач года, млн. руб.</t>
  </si>
  <si>
    <t xml:space="preserve">Количество оборотов (Nоборотов) ОбС нач года  </t>
  </si>
  <si>
    <t>Длительность оборота ОбС (Доб), снижение в днях</t>
  </si>
  <si>
    <t>ОС введ, месяц</t>
  </si>
  <si>
    <t>ОС введ, млн. руб</t>
  </si>
  <si>
    <t>ОС вывед, месяц</t>
  </si>
  <si>
    <t>ОС вывед,  млн. руб</t>
  </si>
  <si>
    <t>Прибыль от реализации продукции, млн. руб.</t>
  </si>
  <si>
    <t>Показатели на начало года</t>
  </si>
  <si>
    <t>Показатели на конец года</t>
  </si>
  <si>
    <t>Себестоимость продукции, млн. руб.</t>
  </si>
  <si>
    <t>Реализованная продукция, млн. руб.</t>
  </si>
  <si>
    <t>Стоимость ОС, млн. руб.</t>
  </si>
  <si>
    <t>Стоимость ОбС, млн. руб.</t>
  </si>
  <si>
    <t>Стоимость ОС (сргод), млн. руб.</t>
  </si>
  <si>
    <t>Длительность одного оборота ОбС, дней</t>
  </si>
  <si>
    <t>Коэффициент оборачиваемости ОбС</t>
  </si>
  <si>
    <t>Рентабельность производства, %</t>
  </si>
  <si>
    <t xml:space="preserve">Рентабельность производства, % </t>
  </si>
  <si>
    <t>Прирост рентабельности производства, %</t>
  </si>
  <si>
    <t>Таблица 1</t>
  </si>
  <si>
    <t>Таблица 2</t>
  </si>
  <si>
    <t>При решении задания необходимо заполнить таблицу 2. Соответственно рассчитать показатели на начало года, затем - показатели на конец года. Далее определить темп изменения рентабельности производства, % (показатель на конец года по отношению к показателю на начало года). Последовательность расчетов следующая</t>
  </si>
  <si>
    <t>1. Определяется себестоимость (Срп) реализованной продукции на начало года исходя из доли условно-постоянных расходов в себестоимости.</t>
  </si>
  <si>
    <t>Пр=РП - Срп</t>
  </si>
  <si>
    <t>где РП - выручка отреализации продукции, млн. руб.</t>
  </si>
  <si>
    <t>5. Длительность одного оборота ОбС, дней</t>
  </si>
  <si>
    <t>Рн.г.=Пр / (ОС + ОбС)*100</t>
  </si>
  <si>
    <t>6. Рассчитывается рентальность производства (Р) на начало года</t>
  </si>
  <si>
    <t>ОбС=РП/Коб</t>
  </si>
  <si>
    <t>4. Стоимость ОбС на начало года определить исходя из заданного значения количества оборотов ОбС (коэффициента оборачиваемости)</t>
  </si>
  <si>
    <t xml:space="preserve">3. Стоимость ОС на начало года определить исходя из заданного значения ФОнг </t>
  </si>
  <si>
    <t>ФО=РП/ОС</t>
  </si>
  <si>
    <t>Д=360/Коб</t>
  </si>
  <si>
    <t>1. Определяется объем реализованной продукции с учетом запланированного роста (задан %)</t>
  </si>
  <si>
    <t>2. Себестоимость продукции рассчитывается как сумма условно-постоянных и условно-переменных затрат. Приэтом надо учесть, что к концу года пропорционально объему реализации возрастут условно-переменныерасходы</t>
  </si>
  <si>
    <t>5. Рассчитать коэффициент оборачиваемости на конец года. Число дней в периоде принимаем 360</t>
  </si>
  <si>
    <t>Коб=360 / Д</t>
  </si>
  <si>
    <t>6. Определяем величину ОбС на конец года, рентабельность производства по вышеприведенным формулам, прирост рентабельности производства</t>
  </si>
  <si>
    <t>3. Определяем прибыль от реализации продукции</t>
  </si>
  <si>
    <t>4. Стоимость ОС на конец года рассчитать как среднегодовую стоимость ОС</t>
  </si>
  <si>
    <t>5. Рассчитать длительность оборота ОбС с учетом запланированного снижения</t>
  </si>
  <si>
    <t>2. Прибыль от реализации продукции рассчитывается (налоги не рассчитываются)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</si>
</sst>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rgb="FFC00000"/>
      <name val="Calibri"/>
      <family val="2"/>
      <charset val="204"/>
      <scheme val="minor"/>
    </font>
    <font>
      <i/>
      <sz val="14"/>
      <color rgb="FFC00000"/>
      <name val="Calibri"/>
      <family val="2"/>
      <charset val="204"/>
      <scheme val="minor"/>
    </font>
    <font>
      <sz val="14"/>
      <color rgb="FFC0000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4"/>
      <color rgb="FFC0000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CC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3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1" xfId="0" applyFill="1" applyBorder="1" applyAlignment="1">
      <alignment horizontal="center"/>
    </xf>
    <xf numFmtId="16" fontId="0" fillId="0" borderId="1" xfId="0" applyNumberFormat="1" applyFill="1" applyBorder="1" applyAlignment="1">
      <alignment horizontal="center"/>
    </xf>
    <xf numFmtId="0" fontId="0" fillId="4" borderId="1" xfId="0" applyFill="1" applyBorder="1"/>
    <xf numFmtId="0" fontId="1" fillId="4" borderId="1" xfId="0" applyFont="1" applyFill="1" applyBorder="1"/>
    <xf numFmtId="0" fontId="0" fillId="5" borderId="1" xfId="0" applyFill="1" applyBorder="1"/>
    <xf numFmtId="0" fontId="5" fillId="4" borderId="1" xfId="0" applyFont="1" applyFill="1" applyBorder="1"/>
    <xf numFmtId="1" fontId="0" fillId="4" borderId="1" xfId="0" applyNumberFormat="1" applyFill="1" applyBorder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5" fillId="5" borderId="1" xfId="0" applyFont="1" applyFill="1" applyBorder="1"/>
    <xf numFmtId="1" fontId="0" fillId="5" borderId="1" xfId="0" applyNumberFormat="1" applyFill="1" applyBorder="1" applyAlignment="1">
      <alignment horizontal="center"/>
    </xf>
    <xf numFmtId="0" fontId="1" fillId="5" borderId="1" xfId="0" applyFont="1" applyFill="1" applyBorder="1"/>
    <xf numFmtId="1" fontId="1" fillId="5" borderId="1" xfId="0" applyNumberFormat="1" applyFont="1" applyFill="1" applyBorder="1" applyAlignment="1">
      <alignment horizontal="center"/>
    </xf>
    <xf numFmtId="0" fontId="7" fillId="0" borderId="0" xfId="0" applyFont="1"/>
    <xf numFmtId="0" fontId="7" fillId="6" borderId="0" xfId="0" applyFont="1" applyFill="1" applyAlignment="1">
      <alignment wrapText="1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7" fillId="6" borderId="0" xfId="0" applyFont="1" applyFill="1" applyAlignment="1">
      <alignment horizontal="center" wrapText="1"/>
    </xf>
    <xf numFmtId="0" fontId="7" fillId="0" borderId="0" xfId="0" applyFont="1" applyFill="1" applyAlignment="1">
      <alignment horizontal="center" wrapText="1"/>
    </xf>
    <xf numFmtId="0" fontId="7" fillId="6" borderId="1" xfId="0" applyFont="1" applyFill="1" applyBorder="1"/>
    <xf numFmtId="0" fontId="8" fillId="0" borderId="0" xfId="0" applyFont="1" applyAlignment="1">
      <alignment horizontal="center" wrapText="1"/>
    </xf>
    <xf numFmtId="0" fontId="7" fillId="3" borderId="0" xfId="0" applyFont="1" applyFill="1" applyAlignment="1">
      <alignment wrapText="1"/>
    </xf>
    <xf numFmtId="0" fontId="7" fillId="3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/>
    </xf>
    <xf numFmtId="0" fontId="7" fillId="3" borderId="0" xfId="0" applyFont="1" applyFill="1" applyAlignment="1">
      <alignment horizontal="center" wrapText="1"/>
    </xf>
    <xf numFmtId="2" fontId="7" fillId="3" borderId="0" xfId="0" applyNumberFormat="1" applyFont="1" applyFill="1" applyAlignment="1">
      <alignment wrapText="1"/>
    </xf>
    <xf numFmtId="0" fontId="7" fillId="6" borderId="0" xfId="0" applyFont="1" applyFill="1"/>
    <xf numFmtId="2" fontId="7" fillId="0" borderId="0" xfId="0" applyNumberFormat="1" applyFont="1" applyFill="1" applyAlignment="1">
      <alignment wrapText="1"/>
    </xf>
    <xf numFmtId="2" fontId="7" fillId="6" borderId="0" xfId="0" applyNumberFormat="1" applyFont="1" applyFill="1" applyAlignment="1">
      <alignment wrapText="1"/>
    </xf>
    <xf numFmtId="0" fontId="7" fillId="3" borderId="0" xfId="0" applyFont="1" applyFill="1"/>
    <xf numFmtId="0" fontId="7" fillId="3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CCC"/>
      <color rgb="FFFFFF99"/>
      <color rgb="FFDDDDDD"/>
      <color rgb="FFFFCC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topLeftCell="A6" zoomScale="118" zoomScaleNormal="76" workbookViewId="0">
      <selection activeCell="M18" sqref="M18"/>
    </sheetView>
  </sheetViews>
  <sheetFormatPr defaultRowHeight="15" x14ac:dyDescent="0.25"/>
  <cols>
    <col min="1" max="1" width="48.140625" customWidth="1"/>
    <col min="2" max="2" width="13.28515625" customWidth="1"/>
  </cols>
  <sheetData>
    <row r="1" spans="1:11" ht="18.75" x14ac:dyDescent="0.3">
      <c r="A1" s="4" t="s">
        <v>7</v>
      </c>
    </row>
    <row r="2" spans="1:11" x14ac:dyDescent="0.25">
      <c r="A2" s="16" t="s">
        <v>30</v>
      </c>
      <c r="B2" s="40" t="s">
        <v>4</v>
      </c>
      <c r="C2" s="40"/>
      <c r="D2" s="40"/>
      <c r="E2" s="40"/>
      <c r="F2" s="40"/>
      <c r="G2" s="40"/>
      <c r="H2" s="40"/>
      <c r="I2" s="40"/>
      <c r="J2" s="40"/>
      <c r="K2" s="40"/>
    </row>
    <row r="3" spans="1:11" x14ac:dyDescent="0.25">
      <c r="A3" s="2" t="s">
        <v>3</v>
      </c>
      <c r="B3" s="3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3">
        <v>8</v>
      </c>
      <c r="J3" s="3">
        <v>9</v>
      </c>
      <c r="K3" s="3">
        <v>10</v>
      </c>
    </row>
    <row r="4" spans="1:11" x14ac:dyDescent="0.25">
      <c r="A4" s="1" t="s">
        <v>8</v>
      </c>
      <c r="B4" s="6">
        <v>240</v>
      </c>
      <c r="C4" s="6">
        <v>300</v>
      </c>
      <c r="D4" s="6">
        <v>410</v>
      </c>
      <c r="E4" s="6">
        <v>370</v>
      </c>
      <c r="F4" s="6">
        <v>250</v>
      </c>
      <c r="G4" s="6">
        <v>500</v>
      </c>
      <c r="H4" s="6">
        <v>410</v>
      </c>
      <c r="I4" s="6">
        <v>290</v>
      </c>
      <c r="J4" s="6">
        <v>330</v>
      </c>
      <c r="K4" s="6">
        <v>510</v>
      </c>
    </row>
    <row r="5" spans="1:11" x14ac:dyDescent="0.25">
      <c r="A5" s="1" t="s">
        <v>9</v>
      </c>
      <c r="B5" s="6">
        <v>15</v>
      </c>
      <c r="C5" s="6">
        <v>23</v>
      </c>
      <c r="D5" s="6">
        <v>40</v>
      </c>
      <c r="E5" s="6">
        <v>10</v>
      </c>
      <c r="F5" s="6">
        <v>25</v>
      </c>
      <c r="G5" s="6">
        <v>33</v>
      </c>
      <c r="H5" s="6">
        <v>18</v>
      </c>
      <c r="I5" s="6">
        <v>16</v>
      </c>
      <c r="J5" s="6">
        <v>20</v>
      </c>
      <c r="K5" s="6">
        <v>24</v>
      </c>
    </row>
    <row r="6" spans="1:11" x14ac:dyDescent="0.25">
      <c r="A6" s="1" t="s">
        <v>10</v>
      </c>
      <c r="B6" s="6">
        <v>1800</v>
      </c>
      <c r="C6" s="6">
        <v>2200</v>
      </c>
      <c r="D6" s="6">
        <v>3000</v>
      </c>
      <c r="E6" s="6">
        <v>4100</v>
      </c>
      <c r="F6" s="6">
        <v>2950</v>
      </c>
      <c r="G6" s="6">
        <v>3400</v>
      </c>
      <c r="H6" s="6">
        <v>2650</v>
      </c>
      <c r="I6" s="6">
        <v>2250</v>
      </c>
      <c r="J6" s="6">
        <v>2800</v>
      </c>
      <c r="K6" s="6">
        <v>3000</v>
      </c>
    </row>
    <row r="7" spans="1:11" x14ac:dyDescent="0.25">
      <c r="A7" s="1" t="s">
        <v>2</v>
      </c>
      <c r="B7" s="6">
        <v>20</v>
      </c>
      <c r="C7" s="6">
        <v>14</v>
      </c>
      <c r="D7" s="6">
        <v>15</v>
      </c>
      <c r="E7" s="6">
        <v>18</v>
      </c>
      <c r="F7" s="6">
        <v>22</v>
      </c>
      <c r="G7" s="6">
        <v>9</v>
      </c>
      <c r="H7" s="6">
        <v>12</v>
      </c>
      <c r="I7" s="6">
        <v>7</v>
      </c>
      <c r="J7" s="6">
        <v>10</v>
      </c>
      <c r="K7" s="6">
        <v>5</v>
      </c>
    </row>
    <row r="8" spans="1:11" x14ac:dyDescent="0.25">
      <c r="A8" s="1" t="s">
        <v>5</v>
      </c>
      <c r="B8" s="6">
        <v>0.25</v>
      </c>
      <c r="C8" s="6">
        <v>0.27</v>
      </c>
      <c r="D8" s="6">
        <v>0.26</v>
      </c>
      <c r="E8" s="6">
        <v>0.3</v>
      </c>
      <c r="F8" s="6">
        <v>0.45</v>
      </c>
      <c r="G8" s="6">
        <v>0.28999999999999998</v>
      </c>
      <c r="H8" s="6">
        <v>0.32</v>
      </c>
      <c r="I8" s="6">
        <v>0.4</v>
      </c>
      <c r="J8" s="6">
        <v>0.38</v>
      </c>
      <c r="K8" s="6">
        <v>0.28000000000000003</v>
      </c>
    </row>
    <row r="9" spans="1:11" x14ac:dyDescent="0.25">
      <c r="A9" s="1" t="s">
        <v>11</v>
      </c>
      <c r="B9" s="6">
        <v>8</v>
      </c>
      <c r="C9" s="6">
        <v>9</v>
      </c>
      <c r="D9" s="6">
        <v>11</v>
      </c>
      <c r="E9" s="6">
        <v>7</v>
      </c>
      <c r="F9" s="6">
        <v>10</v>
      </c>
      <c r="G9" s="6">
        <v>6</v>
      </c>
      <c r="H9" s="6">
        <v>14</v>
      </c>
      <c r="I9" s="6">
        <v>8</v>
      </c>
      <c r="J9" s="6">
        <v>13</v>
      </c>
      <c r="K9" s="6">
        <v>12</v>
      </c>
    </row>
    <row r="10" spans="1:11" x14ac:dyDescent="0.25">
      <c r="A10" s="1" t="s">
        <v>12</v>
      </c>
      <c r="B10" s="6">
        <v>9</v>
      </c>
      <c r="C10" s="6">
        <v>3</v>
      </c>
      <c r="D10" s="6">
        <v>4</v>
      </c>
      <c r="E10" s="6">
        <v>2</v>
      </c>
      <c r="F10" s="6">
        <v>2</v>
      </c>
      <c r="G10" s="6">
        <v>1</v>
      </c>
      <c r="H10" s="6">
        <v>3</v>
      </c>
      <c r="I10" s="6">
        <v>3</v>
      </c>
      <c r="J10" s="6">
        <v>4</v>
      </c>
      <c r="K10" s="6">
        <v>8</v>
      </c>
    </row>
    <row r="11" spans="1:11" x14ac:dyDescent="0.25">
      <c r="A11" s="1" t="s">
        <v>13</v>
      </c>
      <c r="B11" s="7">
        <v>44044</v>
      </c>
      <c r="C11" s="7">
        <v>43891</v>
      </c>
      <c r="D11" s="7">
        <v>43922</v>
      </c>
      <c r="E11" s="7">
        <v>44013</v>
      </c>
      <c r="F11" s="7">
        <v>44105</v>
      </c>
      <c r="G11" s="7">
        <v>43952</v>
      </c>
      <c r="H11" s="7">
        <v>43983</v>
      </c>
      <c r="I11" s="7">
        <v>43862</v>
      </c>
      <c r="J11" s="7">
        <v>44013</v>
      </c>
      <c r="K11" s="7">
        <v>43952</v>
      </c>
    </row>
    <row r="12" spans="1:11" x14ac:dyDescent="0.25">
      <c r="A12" s="1" t="s">
        <v>14</v>
      </c>
      <c r="B12" s="6">
        <v>50</v>
      </c>
      <c r="C12" s="6">
        <v>80</v>
      </c>
      <c r="D12" s="6">
        <v>65</v>
      </c>
      <c r="E12" s="6">
        <v>100</v>
      </c>
      <c r="F12" s="6">
        <v>95</v>
      </c>
      <c r="G12" s="6">
        <v>70</v>
      </c>
      <c r="H12" s="6">
        <v>50</v>
      </c>
      <c r="I12" s="6">
        <v>75</v>
      </c>
      <c r="J12" s="6">
        <v>80</v>
      </c>
      <c r="K12" s="6">
        <v>60</v>
      </c>
    </row>
    <row r="13" spans="1:11" x14ac:dyDescent="0.25">
      <c r="A13" s="1" t="s">
        <v>15</v>
      </c>
      <c r="B13" s="7">
        <v>44105</v>
      </c>
      <c r="C13" s="7">
        <v>44136</v>
      </c>
      <c r="D13" s="7">
        <v>44075</v>
      </c>
      <c r="E13" s="7">
        <v>44044</v>
      </c>
      <c r="F13" s="7">
        <v>44166</v>
      </c>
      <c r="G13" s="7">
        <v>44075</v>
      </c>
      <c r="H13" s="7">
        <v>44013</v>
      </c>
      <c r="I13" s="7">
        <v>44136</v>
      </c>
      <c r="J13" s="7">
        <v>44105</v>
      </c>
      <c r="K13" s="7">
        <v>44075</v>
      </c>
    </row>
    <row r="14" spans="1:11" x14ac:dyDescent="0.25">
      <c r="A14" s="1" t="s">
        <v>16</v>
      </c>
      <c r="B14" s="6">
        <v>90</v>
      </c>
      <c r="C14" s="6">
        <v>100</v>
      </c>
      <c r="D14" s="6">
        <v>50</v>
      </c>
      <c r="E14" s="6">
        <v>60</v>
      </c>
      <c r="F14" s="6">
        <v>40</v>
      </c>
      <c r="G14" s="6">
        <v>65</v>
      </c>
      <c r="H14" s="6">
        <v>24</v>
      </c>
      <c r="I14" s="6">
        <v>60</v>
      </c>
      <c r="J14" s="6">
        <v>55</v>
      </c>
      <c r="K14" s="6">
        <v>35</v>
      </c>
    </row>
    <row r="15" spans="1:11" x14ac:dyDescent="0.25">
      <c r="A15" s="17" t="s">
        <v>31</v>
      </c>
    </row>
    <row r="16" spans="1:11" x14ac:dyDescent="0.25">
      <c r="A16" s="18" t="s">
        <v>18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5">
      <c r="A17" s="10" t="s">
        <v>20</v>
      </c>
      <c r="B17" s="19"/>
      <c r="C17" s="19"/>
      <c r="D17" s="19"/>
      <c r="E17" s="19"/>
      <c r="F17" s="19"/>
      <c r="G17" s="19"/>
      <c r="H17" s="19"/>
      <c r="I17" s="19"/>
      <c r="J17" s="19"/>
      <c r="K17" s="19">
        <f>K4/(K5/100)</f>
        <v>2125</v>
      </c>
    </row>
    <row r="18" spans="1:11" x14ac:dyDescent="0.25">
      <c r="A18" s="10" t="s">
        <v>17</v>
      </c>
      <c r="B18" s="19"/>
      <c r="C18" s="19"/>
      <c r="D18" s="19"/>
      <c r="E18" s="19"/>
      <c r="F18" s="19"/>
      <c r="G18" s="19"/>
      <c r="H18" s="19"/>
      <c r="I18" s="19"/>
      <c r="J18" s="19"/>
      <c r="K18" s="19">
        <f>K6-K17</f>
        <v>875</v>
      </c>
    </row>
    <row r="19" spans="1:11" x14ac:dyDescent="0.25">
      <c r="A19" s="10" t="s">
        <v>22</v>
      </c>
      <c r="B19" s="19"/>
      <c r="C19" s="19"/>
      <c r="D19" s="19"/>
      <c r="E19" s="19"/>
      <c r="F19" s="19"/>
      <c r="G19" s="19"/>
      <c r="H19" s="19"/>
      <c r="I19" s="19"/>
      <c r="J19" s="19"/>
      <c r="K19" s="19">
        <f>K6/(1/K8)</f>
        <v>840.00000000000011</v>
      </c>
    </row>
    <row r="20" spans="1:11" x14ac:dyDescent="0.25">
      <c r="A20" s="10" t="s">
        <v>23</v>
      </c>
      <c r="B20" s="19"/>
      <c r="C20" s="19"/>
      <c r="D20" s="19"/>
      <c r="E20" s="19"/>
      <c r="F20" s="19"/>
      <c r="G20" s="19"/>
      <c r="H20" s="19"/>
      <c r="I20" s="19"/>
      <c r="J20" s="19"/>
      <c r="K20" s="19">
        <f>K6/K9</f>
        <v>250</v>
      </c>
    </row>
    <row r="21" spans="1:11" x14ac:dyDescent="0.25">
      <c r="A21" s="10" t="s">
        <v>25</v>
      </c>
      <c r="B21" s="19"/>
      <c r="C21" s="19"/>
      <c r="D21" s="19"/>
      <c r="E21" s="19"/>
      <c r="F21" s="19"/>
      <c r="G21" s="19"/>
      <c r="H21" s="19"/>
      <c r="I21" s="19"/>
      <c r="J21" s="19"/>
      <c r="K21" s="19">
        <f>360/K9</f>
        <v>30</v>
      </c>
    </row>
    <row r="22" spans="1:11" x14ac:dyDescent="0.25">
      <c r="A22" s="20" t="s">
        <v>27</v>
      </c>
      <c r="B22" s="21"/>
      <c r="C22" s="21"/>
      <c r="D22" s="21"/>
      <c r="E22" s="21"/>
      <c r="F22" s="21"/>
      <c r="G22" s="21"/>
      <c r="H22" s="21"/>
      <c r="I22" s="21"/>
      <c r="J22" s="21"/>
      <c r="K22" s="21">
        <f>K18/(K19+K20)*100</f>
        <v>80.275229357798167</v>
      </c>
    </row>
    <row r="23" spans="1:11" x14ac:dyDescent="0.25">
      <c r="A23" s="11" t="s">
        <v>19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spans="1:11" x14ac:dyDescent="0.25">
      <c r="A24" s="8" t="s">
        <v>21</v>
      </c>
      <c r="B24" s="12"/>
      <c r="C24" s="12"/>
      <c r="D24" s="12"/>
      <c r="E24" s="12"/>
      <c r="F24" s="12"/>
      <c r="G24" s="12"/>
      <c r="H24" s="12"/>
      <c r="I24" s="12"/>
      <c r="J24" s="12"/>
      <c r="K24" s="12">
        <f>K6*105/100</f>
        <v>3150</v>
      </c>
    </row>
    <row r="25" spans="1:11" x14ac:dyDescent="0.25">
      <c r="A25" s="8" t="s">
        <v>20</v>
      </c>
      <c r="B25" s="12"/>
      <c r="C25" s="12"/>
      <c r="D25" s="12"/>
      <c r="E25" s="12"/>
      <c r="F25" s="12"/>
      <c r="G25" s="12"/>
      <c r="H25" s="12"/>
      <c r="I25" s="12"/>
      <c r="J25" s="12"/>
      <c r="K25" s="12">
        <f>K4+((K17-K4)*1.05)</f>
        <v>2205.75</v>
      </c>
    </row>
    <row r="26" spans="1:11" x14ac:dyDescent="0.25">
      <c r="A26" s="8" t="s">
        <v>17</v>
      </c>
      <c r="B26" s="12"/>
      <c r="C26" s="12"/>
      <c r="D26" s="12"/>
      <c r="E26" s="12"/>
      <c r="F26" s="12"/>
      <c r="G26" s="12"/>
      <c r="H26" s="12"/>
      <c r="I26" s="12"/>
      <c r="J26" s="12"/>
      <c r="K26" s="12">
        <f>K24-K25</f>
        <v>944.25</v>
      </c>
    </row>
    <row r="27" spans="1:11" x14ac:dyDescent="0.25">
      <c r="A27" s="8" t="s">
        <v>24</v>
      </c>
      <c r="B27" s="12"/>
      <c r="C27" s="12"/>
      <c r="D27" s="12"/>
      <c r="E27" s="12"/>
      <c r="F27" s="12"/>
      <c r="G27" s="12"/>
      <c r="H27" s="12"/>
      <c r="I27" s="12"/>
      <c r="J27" s="12"/>
      <c r="K27" s="12">
        <f>K19+(K12*8/12)-(K14*4/12)</f>
        <v>868.33333333333348</v>
      </c>
    </row>
    <row r="28" spans="1:11" x14ac:dyDescent="0.25">
      <c r="A28" s="8" t="s">
        <v>25</v>
      </c>
      <c r="B28" s="12"/>
      <c r="C28" s="12"/>
      <c r="D28" s="12"/>
      <c r="E28" s="12"/>
      <c r="F28" s="12"/>
      <c r="G28" s="12"/>
      <c r="H28" s="12"/>
      <c r="I28" s="12"/>
      <c r="J28" s="12"/>
      <c r="K28" s="12">
        <f>K21-K10</f>
        <v>22</v>
      </c>
    </row>
    <row r="29" spans="1:11" x14ac:dyDescent="0.25">
      <c r="A29" s="8" t="s">
        <v>26</v>
      </c>
      <c r="B29" s="12"/>
      <c r="C29" s="12"/>
      <c r="D29" s="12"/>
      <c r="E29" s="12"/>
      <c r="F29" s="12"/>
      <c r="G29" s="12"/>
      <c r="H29" s="12"/>
      <c r="I29" s="12"/>
      <c r="J29" s="12"/>
      <c r="K29" s="12">
        <f>360/(K28)</f>
        <v>16.363636363636363</v>
      </c>
    </row>
    <row r="30" spans="1:11" x14ac:dyDescent="0.25">
      <c r="A30" s="8" t="s">
        <v>23</v>
      </c>
      <c r="B30" s="12"/>
      <c r="C30" s="12"/>
      <c r="D30" s="12"/>
      <c r="E30" s="12"/>
      <c r="F30" s="12"/>
      <c r="G30" s="12"/>
      <c r="H30" s="12"/>
      <c r="I30" s="12"/>
      <c r="J30" s="12"/>
      <c r="K30" s="12">
        <f>K24/K29</f>
        <v>192.5</v>
      </c>
    </row>
    <row r="31" spans="1:11" x14ac:dyDescent="0.25">
      <c r="A31" s="9" t="s">
        <v>28</v>
      </c>
      <c r="B31" s="13"/>
      <c r="C31" s="13"/>
      <c r="D31" s="13"/>
      <c r="E31" s="13"/>
      <c r="F31" s="13"/>
      <c r="G31" s="13"/>
      <c r="H31" s="13"/>
      <c r="I31" s="13"/>
      <c r="J31" s="13"/>
      <c r="K31" s="13">
        <f>K26/(K27+K30)*100</f>
        <v>89.010212097407688</v>
      </c>
    </row>
    <row r="32" spans="1:11" x14ac:dyDescent="0.25">
      <c r="A32" s="9" t="s">
        <v>29</v>
      </c>
      <c r="B32" s="13"/>
      <c r="C32" s="13"/>
      <c r="D32" s="13"/>
      <c r="E32" s="13"/>
      <c r="F32" s="13"/>
      <c r="G32" s="13"/>
      <c r="H32" s="13"/>
      <c r="I32" s="13"/>
      <c r="J32" s="13"/>
      <c r="K32" s="13">
        <f>(K31/K22*100)-100</f>
        <v>10.881292784199289</v>
      </c>
    </row>
  </sheetData>
  <mergeCells count="1">
    <mergeCell ref="B2:K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"/>
  <sheetViews>
    <sheetView topLeftCell="A4" workbookViewId="0">
      <selection activeCell="C5" sqref="C5"/>
    </sheetView>
  </sheetViews>
  <sheetFormatPr defaultRowHeight="15" x14ac:dyDescent="0.25"/>
  <cols>
    <col min="1" max="1" width="93.28515625" customWidth="1"/>
    <col min="2" max="2" width="20.42578125" customWidth="1"/>
    <col min="3" max="3" width="18.42578125" customWidth="1"/>
  </cols>
  <sheetData>
    <row r="1" spans="1:3" ht="18.75" x14ac:dyDescent="0.3">
      <c r="A1" s="4" t="s">
        <v>6</v>
      </c>
    </row>
    <row r="2" spans="1:3" ht="18.75" x14ac:dyDescent="0.3">
      <c r="A2" s="5" t="s">
        <v>0</v>
      </c>
    </row>
    <row r="4" spans="1:3" ht="18.75" x14ac:dyDescent="0.3">
      <c r="A4" s="14" t="s">
        <v>1</v>
      </c>
    </row>
    <row r="5" spans="1:3" ht="63" x14ac:dyDescent="0.25">
      <c r="A5" s="15" t="s">
        <v>32</v>
      </c>
    </row>
    <row r="6" spans="1:3" ht="15.75" x14ac:dyDescent="0.25">
      <c r="A6" s="29" t="s">
        <v>18</v>
      </c>
    </row>
    <row r="7" spans="1:3" ht="31.5" x14ac:dyDescent="0.25">
      <c r="A7" s="23" t="s">
        <v>33</v>
      </c>
      <c r="B7" s="22"/>
      <c r="C7" s="22"/>
    </row>
    <row r="8" spans="1:3" ht="15.75" x14ac:dyDescent="0.25">
      <c r="A8" s="22"/>
      <c r="B8" s="22"/>
      <c r="C8" s="22"/>
    </row>
    <row r="9" spans="1:3" ht="15.75" x14ac:dyDescent="0.25">
      <c r="A9" s="30" t="s">
        <v>52</v>
      </c>
      <c r="B9" s="22"/>
      <c r="C9" s="22"/>
    </row>
    <row r="10" spans="1:3" ht="15.75" x14ac:dyDescent="0.25">
      <c r="A10" s="31" t="s">
        <v>34</v>
      </c>
      <c r="B10" s="22"/>
      <c r="C10" s="22"/>
    </row>
    <row r="11" spans="1:3" ht="15.75" x14ac:dyDescent="0.25">
      <c r="A11" s="30" t="s">
        <v>35</v>
      </c>
      <c r="B11" s="22"/>
      <c r="C11" s="22"/>
    </row>
    <row r="12" spans="1:3" ht="15.75" x14ac:dyDescent="0.25">
      <c r="A12" s="15"/>
      <c r="B12" s="22"/>
      <c r="C12" s="22"/>
    </row>
    <row r="13" spans="1:3" ht="15.75" x14ac:dyDescent="0.25">
      <c r="A13" s="23" t="s">
        <v>41</v>
      </c>
      <c r="B13" s="22"/>
      <c r="C13" s="22"/>
    </row>
    <row r="14" spans="1:3" ht="15.75" x14ac:dyDescent="0.25">
      <c r="A14" s="26" t="s">
        <v>42</v>
      </c>
      <c r="B14" s="22"/>
      <c r="C14" s="22"/>
    </row>
    <row r="15" spans="1:3" ht="15.75" x14ac:dyDescent="0.25">
      <c r="A15" s="27"/>
      <c r="B15" s="22"/>
      <c r="C15" s="22"/>
    </row>
    <row r="16" spans="1:3" ht="31.5" x14ac:dyDescent="0.25">
      <c r="A16" s="30" t="s">
        <v>40</v>
      </c>
      <c r="B16" s="22"/>
      <c r="C16" s="22"/>
    </row>
    <row r="17" spans="1:3" ht="15.75" x14ac:dyDescent="0.25">
      <c r="A17" s="32" t="s">
        <v>39</v>
      </c>
      <c r="B17" s="22"/>
      <c r="C17" s="22"/>
    </row>
    <row r="18" spans="1:3" ht="15.75" x14ac:dyDescent="0.25">
      <c r="A18" s="24"/>
      <c r="B18" s="22"/>
      <c r="C18" s="22"/>
    </row>
    <row r="19" spans="1:3" ht="15.75" x14ac:dyDescent="0.25">
      <c r="A19" s="28" t="s">
        <v>36</v>
      </c>
      <c r="B19" s="22"/>
      <c r="C19" s="22"/>
    </row>
    <row r="20" spans="1:3" ht="15.75" x14ac:dyDescent="0.25">
      <c r="A20" s="26" t="s">
        <v>43</v>
      </c>
      <c r="B20" s="22"/>
      <c r="C20" s="22"/>
    </row>
    <row r="21" spans="1:3" ht="15.75" x14ac:dyDescent="0.25">
      <c r="A21" s="25"/>
      <c r="B21" s="22"/>
      <c r="C21" s="22"/>
    </row>
    <row r="22" spans="1:3" ht="15.75" x14ac:dyDescent="0.25">
      <c r="A22" s="30" t="s">
        <v>38</v>
      </c>
    </row>
    <row r="23" spans="1:3" ht="15.75" x14ac:dyDescent="0.25">
      <c r="A23" s="33" t="s">
        <v>37</v>
      </c>
    </row>
    <row r="24" spans="1:3" ht="15.75" x14ac:dyDescent="0.25">
      <c r="A24" s="15"/>
    </row>
    <row r="25" spans="1:3" ht="15.75" x14ac:dyDescent="0.25">
      <c r="A25" s="29" t="s">
        <v>19</v>
      </c>
    </row>
    <row r="26" spans="1:3" ht="16.7" customHeight="1" x14ac:dyDescent="0.25">
      <c r="A26" s="23" t="s">
        <v>44</v>
      </c>
    </row>
    <row r="27" spans="1:3" ht="15.75" x14ac:dyDescent="0.25">
      <c r="A27" s="15"/>
    </row>
    <row r="28" spans="1:3" ht="47.25" x14ac:dyDescent="0.25">
      <c r="A28" s="34" t="s">
        <v>45</v>
      </c>
    </row>
    <row r="29" spans="1:3" ht="15.75" x14ac:dyDescent="0.25">
      <c r="A29" s="36"/>
    </row>
    <row r="30" spans="1:3" ht="15.75" x14ac:dyDescent="0.25">
      <c r="A30" s="37" t="s">
        <v>49</v>
      </c>
    </row>
    <row r="32" spans="1:3" ht="15.75" x14ac:dyDescent="0.25">
      <c r="A32" s="38" t="s">
        <v>50</v>
      </c>
    </row>
    <row r="34" spans="1:1" ht="15.75" x14ac:dyDescent="0.25">
      <c r="A34" s="35" t="s">
        <v>51</v>
      </c>
    </row>
    <row r="35" spans="1:1" ht="15.75" x14ac:dyDescent="0.25">
      <c r="A35" s="22"/>
    </row>
    <row r="36" spans="1:1" ht="15.75" x14ac:dyDescent="0.25">
      <c r="A36" s="38" t="s">
        <v>46</v>
      </c>
    </row>
    <row r="37" spans="1:1" ht="15.75" x14ac:dyDescent="0.25">
      <c r="A37" s="39" t="s">
        <v>47</v>
      </c>
    </row>
    <row r="38" spans="1:1" ht="15.75" x14ac:dyDescent="0.25">
      <c r="A38" s="22"/>
    </row>
    <row r="39" spans="1:1" ht="31.5" x14ac:dyDescent="0.25">
      <c r="A39" s="23" t="s">
        <v>48</v>
      </c>
    </row>
    <row r="40" spans="1:1" ht="15.75" x14ac:dyDescent="0.25">
      <c r="A40" s="2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 данные и решение</vt:lpstr>
      <vt:lpstr>Порядок работы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Алексей Мандрик</cp:lastModifiedBy>
  <dcterms:created xsi:type="dcterms:W3CDTF">2020-04-24T14:09:26Z</dcterms:created>
  <dcterms:modified xsi:type="dcterms:W3CDTF">2026-04-24T07:54:03Z</dcterms:modified>
</cp:coreProperties>
</file>