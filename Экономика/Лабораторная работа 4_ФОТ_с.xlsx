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abs_6\Экономика\"/>
    </mc:Choice>
  </mc:AlternateContent>
  <xr:revisionPtr revIDLastSave="0" documentId="13_ncr:1_{12F8950F-E6F2-4BE5-9FAC-1D60471D49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 исх данные, решение 1" sheetId="1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8" i="1" l="1" a="1"/>
  <c r="D88" i="1" s="1"/>
  <c r="D91" i="1" s="1"/>
  <c r="C91" i="1"/>
  <c r="M9" i="1"/>
  <c r="B91" i="1"/>
  <c r="D70" i="1"/>
  <c r="D66" i="1"/>
  <c r="D62" i="1"/>
  <c r="D71" i="1" s="1"/>
  <c r="C66" i="1"/>
  <c r="C62" i="1"/>
  <c r="C70" i="1"/>
  <c r="K9" i="1"/>
  <c r="K8" i="1"/>
  <c r="E88" i="1" l="1" a="1"/>
  <c r="E88" i="1" s="1"/>
  <c r="E91" i="1" s="1"/>
  <c r="C71" i="1"/>
  <c r="K14" i="1"/>
  <c r="E60" i="1"/>
  <c r="E61" i="1"/>
  <c r="E62" i="1"/>
  <c r="E64" i="1"/>
  <c r="E65" i="1"/>
  <c r="K15" i="1" l="1"/>
  <c r="K17" i="1" s="1"/>
  <c r="K18" i="1" s="1"/>
  <c r="F52" i="1" s="1"/>
  <c r="C81" i="1"/>
  <c r="B81" i="1"/>
  <c r="F88" i="1" s="1" a="1"/>
  <c r="D81" i="1"/>
  <c r="E68" i="1"/>
  <c r="F60" i="1" a="1"/>
  <c r="E66" i="1"/>
  <c r="G52" i="1"/>
  <c r="E69" i="1"/>
  <c r="F64" i="1" l="1" a="1"/>
  <c r="F88" i="1"/>
  <c r="G89" i="1"/>
  <c r="G90" i="1"/>
  <c r="F64" i="1"/>
  <c r="E70" i="1"/>
  <c r="E71" i="1" s="1"/>
  <c r="B96" i="1" s="1"/>
  <c r="H52" i="1"/>
  <c r="G65" i="1" s="1"/>
  <c r="I52" i="1"/>
  <c r="B52" i="1"/>
  <c r="C52" i="1"/>
  <c r="D52" i="1"/>
  <c r="E52" i="1"/>
  <c r="G61" i="1" s="1"/>
  <c r="F60" i="1"/>
  <c r="F68" i="1" a="1"/>
  <c r="F91" i="1" l="1"/>
  <c r="G88" i="1"/>
  <c r="G91" i="1" s="1"/>
  <c r="F66" i="1"/>
  <c r="G64" i="1"/>
  <c r="G66" i="1" s="1"/>
  <c r="C76" i="1" s="1"/>
  <c r="F68" i="1"/>
  <c r="G69" i="1"/>
  <c r="G60" i="1"/>
  <c r="G62" i="1" s="1"/>
  <c r="B76" i="1" l="1"/>
  <c r="F70" i="1"/>
  <c r="F71" i="1" s="1"/>
  <c r="G68" i="1"/>
  <c r="G70" i="1" s="1"/>
  <c r="D76" i="1" s="1"/>
  <c r="G71" i="1" l="1"/>
  <c r="B95" i="1" s="1"/>
  <c r="B78" i="1" a="1"/>
  <c r="B78" i="1" s="1"/>
  <c r="B77" i="1" a="1"/>
  <c r="B79" i="1" a="1"/>
  <c r="B79" i="1" s="1"/>
  <c r="B77" i="1" l="1"/>
  <c r="B80" i="1" s="1"/>
  <c r="C80" i="1"/>
  <c r="D80" i="1"/>
  <c r="B82" i="1" l="1" a="1"/>
  <c r="B82" i="1" s="1"/>
  <c r="B83" i="1" s="1"/>
  <c r="C83" i="1" l="1"/>
  <c r="D8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<sst xmlns="http://schemas.openxmlformats.org/spreadsheetml/2006/main" count="130" uniqueCount="112">
  <si>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</si>
  <si>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</si>
  <si>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</si>
  <si>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</si>
  <si>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</si>
  <si>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</si>
  <si>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</si>
  <si>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</si>
  <si>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</si>
  <si>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8. Эффективный фонд рабочего времени, ч (п.6-п.7)</t>
  </si>
  <si>
    <t>Таблица 1. Баланс рабочего времени одного среднесписочного рабочего</t>
  </si>
  <si>
    <t>Разряд</t>
  </si>
  <si>
    <t>Часовая тарифная ставка, руб.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</si>
  <si>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</si>
  <si>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</si>
  <si>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</si>
  <si>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</si>
  <si>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</si>
  <si>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</si>
  <si>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</si>
  <si>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</si>
  <si>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</si>
  <si>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</si>
  <si>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</si>
  <si>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</si>
  <si>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</si>
  <si>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</si>
  <si>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</si>
  <si>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</si>
  <si>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</si>
  <si>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</si>
  <si>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</si>
  <si>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</si>
  <si>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</si>
  <si>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</si>
  <si>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</si>
  <si>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</si>
  <si>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</si>
  <si>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6. Число рабочих часов в году (п.5×продолжительность рабочей смены 8 ч)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</si>
  <si>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</si>
  <si>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</si>
  <si>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</si>
  <si>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</si>
  <si>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</si>
  <si>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</si>
  <si>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</si>
  <si>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</si>
  <si>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</si>
  <si>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</si>
  <si>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</si>
  <si>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</si>
  <si>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</si>
  <si>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</si>
  <si>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</si>
  <si>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</si>
  <si>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</si>
  <si>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</si>
  <si>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</si>
  <si>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</si>
  <si>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</si>
  <si>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</si>
  <si>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</si>
  <si>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</si>
  <si>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</si>
  <si>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</si>
  <si>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</si>
  <si>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</si>
  <si>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</si>
  <si>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</si>
  <si>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</si>
  <si>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</si>
  <si>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</si>
  <si>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</si>
  <si>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</si>
  <si>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</si>
  <si>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</si>
  <si>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</si>
  <si>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</si>
  <si>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</si>
  <si>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</si>
  <si>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</si>
  <si>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</si>
  <si>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</si>
  <si>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>9. Эффективный фонд рабочего времени в среднем за месяц, ч (п.8/12)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</si>
  <si>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</si>
  <si>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</si>
  <si>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</si>
  <si>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</si>
  <si>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</si>
  <si>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</si>
  <si>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</si>
  <si>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</si>
  <si>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</si>
  <si>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</si>
  <si>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</si>
  <si>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5. Итого основная заработная плата (п.1+п.2+п.3+п.4)</t>
  </si>
  <si>
    <t>Всего (п.5+п.7)</t>
  </si>
  <si>
    <t>Доплаты за вечернее время = Годовой тарифный фонд / 3 * 20/100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</si>
  <si>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</si>
  <si>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</si>
  <si>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Доп. з/п (см. п.6 табл. 5)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</si>
  <si>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</si>
  <si>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</si>
  <si>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</si>
  <si>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</si>
  <si>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</si>
  <si>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</si>
  <si>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</si>
  <si>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</si>
  <si>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</si>
  <si>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t>5. Эффективный фонд времени в днях (п.3-п.4)</t>
  </si>
  <si>
    <t>Доплаты за вночное время = Годовой тарифный фонд / 3 * 40/100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</si>
</sst>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0" fillId="0" borderId="1" xfId="0" applyFont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Fill="1" applyBorder="1"/>
    <xf numFmtId="0" fontId="0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textRotation="90" wrapText="1"/>
    </xf>
    <xf numFmtId="2" fontId="9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justify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9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" fontId="0" fillId="0" borderId="0" xfId="0" applyNumberFormat="1" applyFont="1"/>
    <xf numFmtId="1" fontId="5" fillId="0" borderId="1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77" workbookViewId="0">
      <selection activeCell="C100" sqref="C100"/>
    </sheetView>
  </sheetViews>
  <sheetFormatPr defaultColWidth="8.85546875" defaultRowHeight="15" x14ac:dyDescent="0.25"/>
  <cols>
    <col min="1" max="1" width="59.5703125" style="2" customWidth="1"/>
    <col min="2" max="2" width="12.42578125" style="2" bestFit="1" customWidth="1"/>
    <col min="3" max="3" width="11" style="2" customWidth="1"/>
    <col min="4" max="4" width="10.7109375" style="2" customWidth="1"/>
    <col min="5" max="5" width="12.42578125" style="2" bestFit="1" customWidth="1"/>
    <col min="6" max="6" width="14" style="2" customWidth="1"/>
    <col min="7" max="7" width="11.28515625" style="2" customWidth="1"/>
    <col min="8" max="8" width="9.7109375" style="2" customWidth="1"/>
    <col min="9" max="9" width="10.140625" style="2" customWidth="1"/>
    <col min="10" max="16384" width="8.85546875" style="2"/>
  </cols>
  <sheetData>
    <row r="1" spans="1:13" ht="18.75" x14ac:dyDescent="0.3">
      <c r="A1" s="1" t="s">
        <v>78</v>
      </c>
    </row>
    <row r="3" spans="1:13" ht="15.75" x14ac:dyDescent="0.25">
      <c r="A3" s="92" t="s">
        <v>10</v>
      </c>
      <c r="B3" s="93"/>
      <c r="C3" s="93"/>
      <c r="D3" s="93"/>
      <c r="E3" s="93"/>
      <c r="F3" s="93"/>
      <c r="G3" s="93"/>
      <c r="H3" s="93"/>
      <c r="I3" s="93"/>
      <c r="J3" s="93"/>
      <c r="K3" s="94"/>
    </row>
    <row r="4" spans="1:13" ht="15" customHeight="1" x14ac:dyDescent="0.25">
      <c r="A4" s="5" t="s">
        <v>0</v>
      </c>
      <c r="B4" s="87" t="s">
        <v>1</v>
      </c>
      <c r="C4" s="88"/>
      <c r="D4" s="88"/>
      <c r="E4" s="88"/>
      <c r="F4" s="88"/>
      <c r="G4" s="88"/>
      <c r="H4" s="88"/>
      <c r="I4" s="88"/>
      <c r="J4" s="88"/>
      <c r="K4" s="89"/>
    </row>
    <row r="5" spans="1:13" ht="15.75" x14ac:dyDescent="0.25">
      <c r="A5" s="5"/>
      <c r="B5" s="66">
        <v>1</v>
      </c>
      <c r="C5" s="67">
        <v>2</v>
      </c>
      <c r="D5" s="67">
        <v>3</v>
      </c>
      <c r="E5" s="67">
        <v>4</v>
      </c>
      <c r="F5" s="67">
        <v>5</v>
      </c>
      <c r="G5" s="67">
        <v>6</v>
      </c>
      <c r="H5" s="67">
        <v>7</v>
      </c>
      <c r="I5" s="67">
        <v>8</v>
      </c>
      <c r="J5" s="67">
        <v>9</v>
      </c>
      <c r="K5" s="67">
        <v>10</v>
      </c>
    </row>
    <row r="6" spans="1:13" ht="18.75" customHeight="1" x14ac:dyDescent="0.25">
      <c r="A6" s="4" t="s">
        <v>2</v>
      </c>
      <c r="B6" s="9">
        <v>365</v>
      </c>
      <c r="C6" s="9">
        <v>365</v>
      </c>
      <c r="D6" s="9">
        <v>366</v>
      </c>
      <c r="E6" s="9">
        <v>365</v>
      </c>
      <c r="F6" s="9">
        <v>365</v>
      </c>
      <c r="G6" s="9">
        <v>366</v>
      </c>
      <c r="H6" s="9">
        <v>365</v>
      </c>
      <c r="I6" s="9">
        <v>365</v>
      </c>
      <c r="J6" s="9">
        <v>366</v>
      </c>
      <c r="K6" s="9">
        <v>365</v>
      </c>
    </row>
    <row r="7" spans="1:13" ht="17.850000000000001" customHeight="1" x14ac:dyDescent="0.25">
      <c r="A7" s="4" t="s">
        <v>3</v>
      </c>
      <c r="B7" s="9">
        <v>113</v>
      </c>
      <c r="C7" s="9">
        <v>112</v>
      </c>
      <c r="D7" s="9">
        <v>111</v>
      </c>
      <c r="E7" s="9">
        <v>110</v>
      </c>
      <c r="F7" s="9">
        <v>109</v>
      </c>
      <c r="G7" s="9">
        <v>108</v>
      </c>
      <c r="H7" s="9">
        <v>113</v>
      </c>
      <c r="I7" s="9">
        <v>112</v>
      </c>
      <c r="J7" s="9">
        <v>111</v>
      </c>
      <c r="K7" s="9">
        <v>110</v>
      </c>
    </row>
    <row r="8" spans="1:13" ht="14.65" customHeight="1" x14ac:dyDescent="0.25">
      <c r="A8" s="4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>
        <f>K6-K7</f>
        <v>255</v>
      </c>
    </row>
    <row r="9" spans="1:13" ht="15" customHeight="1" x14ac:dyDescent="0.25">
      <c r="A9" s="4" t="s">
        <v>37</v>
      </c>
      <c r="B9" s="10"/>
      <c r="C9" s="10"/>
      <c r="D9" s="10"/>
      <c r="E9" s="10"/>
      <c r="F9" s="10"/>
      <c r="G9" s="10"/>
      <c r="H9" s="10"/>
      <c r="I9" s="10"/>
      <c r="J9" s="10"/>
      <c r="K9" s="10">
        <f>SUM(K10:K13)</f>
        <v>35</v>
      </c>
      <c r="M9" s="96">
        <f>K9-K11-K12</f>
        <v>34</v>
      </c>
    </row>
    <row r="10" spans="1:13" ht="16.7" customHeight="1" x14ac:dyDescent="0.25">
      <c r="A10" s="24" t="s">
        <v>5</v>
      </c>
      <c r="B10" s="9">
        <v>26</v>
      </c>
      <c r="C10" s="11">
        <v>28</v>
      </c>
      <c r="D10" s="11">
        <v>30</v>
      </c>
      <c r="E10" s="11">
        <v>31</v>
      </c>
      <c r="F10" s="11">
        <v>32</v>
      </c>
      <c r="G10" s="11">
        <v>28</v>
      </c>
      <c r="H10" s="11">
        <v>26</v>
      </c>
      <c r="I10" s="11">
        <v>27</v>
      </c>
      <c r="J10" s="11">
        <v>30</v>
      </c>
      <c r="K10" s="11">
        <v>32</v>
      </c>
    </row>
    <row r="11" spans="1:13" ht="19.899999999999999" customHeight="1" x14ac:dyDescent="0.25">
      <c r="A11" s="24" t="s">
        <v>6</v>
      </c>
      <c r="B11" s="9">
        <v>3</v>
      </c>
      <c r="C11" s="11">
        <v>1</v>
      </c>
      <c r="D11" s="11">
        <v>2</v>
      </c>
      <c r="E11" s="11">
        <v>0</v>
      </c>
      <c r="F11" s="11">
        <v>3</v>
      </c>
      <c r="G11" s="11">
        <v>2</v>
      </c>
      <c r="H11" s="11">
        <v>1</v>
      </c>
      <c r="I11" s="11">
        <v>2</v>
      </c>
      <c r="J11" s="11">
        <v>3</v>
      </c>
      <c r="K11" s="11">
        <v>0</v>
      </c>
    </row>
    <row r="12" spans="1:13" ht="14.65" customHeight="1" x14ac:dyDescent="0.25">
      <c r="A12" s="24" t="s">
        <v>7</v>
      </c>
      <c r="B12" s="9">
        <v>3</v>
      </c>
      <c r="C12" s="11">
        <v>2</v>
      </c>
      <c r="D12" s="11">
        <v>1</v>
      </c>
      <c r="E12" s="11">
        <v>4</v>
      </c>
      <c r="F12" s="11">
        <v>2</v>
      </c>
      <c r="G12" s="11">
        <v>1</v>
      </c>
      <c r="H12" s="11">
        <v>3</v>
      </c>
      <c r="I12" s="11">
        <v>2</v>
      </c>
      <c r="J12" s="11">
        <v>3</v>
      </c>
      <c r="K12" s="11">
        <v>1</v>
      </c>
    </row>
    <row r="13" spans="1:13" ht="32.25" customHeight="1" x14ac:dyDescent="0.25">
      <c r="A13" s="24" t="s">
        <v>8</v>
      </c>
      <c r="B13" s="9">
        <v>2</v>
      </c>
      <c r="C13" s="9">
        <v>1</v>
      </c>
      <c r="D13" s="9">
        <v>2</v>
      </c>
      <c r="E13" s="9">
        <v>0</v>
      </c>
      <c r="F13" s="9">
        <v>3</v>
      </c>
      <c r="G13" s="9">
        <v>0</v>
      </c>
      <c r="H13" s="9">
        <v>2</v>
      </c>
      <c r="I13" s="9">
        <v>1</v>
      </c>
      <c r="J13" s="9">
        <v>3</v>
      </c>
      <c r="K13" s="9">
        <v>2</v>
      </c>
    </row>
    <row r="14" spans="1:13" ht="17.25" customHeight="1" x14ac:dyDescent="0.25">
      <c r="A14" s="4" t="s">
        <v>110</v>
      </c>
      <c r="B14" s="10"/>
      <c r="C14" s="10"/>
      <c r="D14" s="10"/>
      <c r="E14" s="10"/>
      <c r="F14" s="10"/>
      <c r="G14" s="10"/>
      <c r="H14" s="10"/>
      <c r="I14" s="10"/>
      <c r="J14" s="10"/>
      <c r="K14" s="10">
        <f>K8-K9</f>
        <v>220</v>
      </c>
    </row>
    <row r="15" spans="1:13" ht="29.65" customHeight="1" x14ac:dyDescent="0.25">
      <c r="A15" s="4" t="s">
        <v>38</v>
      </c>
      <c r="B15" s="10"/>
      <c r="C15" s="10"/>
      <c r="D15" s="10"/>
      <c r="E15" s="10"/>
      <c r="F15" s="10"/>
      <c r="G15" s="10"/>
      <c r="H15" s="10"/>
      <c r="I15" s="10"/>
      <c r="J15" s="10"/>
      <c r="K15" s="10">
        <f>K14*8</f>
        <v>1760</v>
      </c>
    </row>
    <row r="16" spans="1:13" ht="15.75" x14ac:dyDescent="0.25">
      <c r="A16" s="4" t="s">
        <v>79</v>
      </c>
      <c r="B16" s="9">
        <v>10</v>
      </c>
      <c r="C16" s="9">
        <v>9</v>
      </c>
      <c r="D16" s="9">
        <v>28</v>
      </c>
      <c r="E16" s="9">
        <v>7</v>
      </c>
      <c r="F16" s="9">
        <v>15</v>
      </c>
      <c r="G16" s="9">
        <v>6</v>
      </c>
      <c r="H16" s="9">
        <v>10</v>
      </c>
      <c r="I16" s="9">
        <v>15</v>
      </c>
      <c r="J16" s="9">
        <v>10</v>
      </c>
      <c r="K16" s="9">
        <v>17</v>
      </c>
    </row>
    <row r="17" spans="1:11" ht="19.350000000000001" customHeight="1" x14ac:dyDescent="0.25">
      <c r="A17" s="4" t="s">
        <v>9</v>
      </c>
      <c r="B17" s="10"/>
      <c r="C17" s="10"/>
      <c r="D17" s="10"/>
      <c r="E17" s="10"/>
      <c r="F17" s="10"/>
      <c r="G17" s="10"/>
      <c r="H17" s="10"/>
      <c r="I17" s="10"/>
      <c r="J17" s="10"/>
      <c r="K17" s="10">
        <f>K15-K16</f>
        <v>1743</v>
      </c>
    </row>
    <row r="18" spans="1:11" ht="29.1" customHeight="1" x14ac:dyDescent="0.25">
      <c r="A18" s="4" t="s">
        <v>83</v>
      </c>
      <c r="B18" s="10"/>
      <c r="C18" s="10"/>
      <c r="D18" s="10"/>
      <c r="E18" s="10"/>
      <c r="F18" s="10"/>
      <c r="G18" s="10"/>
      <c r="H18" s="10"/>
      <c r="I18" s="10"/>
      <c r="J18" s="10"/>
      <c r="K18" s="10">
        <f>K17/12</f>
        <v>145.25</v>
      </c>
    </row>
    <row r="20" spans="1:11" ht="15.75" x14ac:dyDescent="0.25">
      <c r="A20" s="95" t="s">
        <v>42</v>
      </c>
      <c r="B20" s="95"/>
      <c r="C20" s="95"/>
      <c r="D20" s="95"/>
      <c r="E20" s="95"/>
      <c r="F20" s="95"/>
      <c r="G20" s="95"/>
      <c r="H20" s="95"/>
    </row>
    <row r="21" spans="1:11" ht="15.75" x14ac:dyDescent="0.25">
      <c r="A21" s="5" t="s">
        <v>0</v>
      </c>
      <c r="B21" s="87" t="s">
        <v>1</v>
      </c>
      <c r="C21" s="88"/>
      <c r="D21" s="88"/>
      <c r="E21" s="88"/>
      <c r="F21" s="88"/>
      <c r="G21" s="88"/>
      <c r="H21" s="88"/>
      <c r="I21" s="88"/>
      <c r="J21" s="88"/>
      <c r="K21" s="89"/>
    </row>
    <row r="22" spans="1:11" ht="15.75" x14ac:dyDescent="0.25">
      <c r="A22" s="5"/>
      <c r="B22" s="66">
        <v>1</v>
      </c>
      <c r="C22" s="67">
        <v>2</v>
      </c>
      <c r="D22" s="67">
        <v>3</v>
      </c>
      <c r="E22" s="67">
        <v>4</v>
      </c>
      <c r="F22" s="67">
        <v>5</v>
      </c>
      <c r="G22" s="67">
        <v>6</v>
      </c>
      <c r="H22" s="67">
        <v>7</v>
      </c>
      <c r="I22" s="67">
        <v>8</v>
      </c>
      <c r="J22" s="67">
        <v>9</v>
      </c>
      <c r="K22" s="67">
        <v>10</v>
      </c>
    </row>
    <row r="23" spans="1:11" ht="15.75" x14ac:dyDescent="0.25">
      <c r="A23" s="4" t="s">
        <v>41</v>
      </c>
      <c r="B23" s="9">
        <v>600</v>
      </c>
      <c r="C23" s="9">
        <v>520</v>
      </c>
      <c r="D23" s="9">
        <v>480</v>
      </c>
      <c r="E23" s="9">
        <v>660</v>
      </c>
      <c r="F23" s="9">
        <v>500</v>
      </c>
      <c r="G23" s="9">
        <v>450</v>
      </c>
      <c r="H23" s="9">
        <v>390</v>
      </c>
      <c r="I23" s="9">
        <v>670</v>
      </c>
      <c r="J23" s="9">
        <v>580</v>
      </c>
      <c r="K23" s="9">
        <v>490</v>
      </c>
    </row>
    <row r="24" spans="1:11" ht="15.75" x14ac:dyDescent="0.25">
      <c r="A24" s="4" t="s">
        <v>58</v>
      </c>
      <c r="B24" s="9">
        <v>50</v>
      </c>
      <c r="C24" s="9">
        <v>55</v>
      </c>
      <c r="D24" s="9">
        <v>60</v>
      </c>
      <c r="E24" s="9">
        <v>40</v>
      </c>
      <c r="F24" s="9">
        <v>45</v>
      </c>
      <c r="G24" s="9">
        <v>50</v>
      </c>
      <c r="H24" s="9">
        <v>55</v>
      </c>
      <c r="I24" s="9">
        <v>60</v>
      </c>
      <c r="J24" s="9">
        <v>45</v>
      </c>
      <c r="K24" s="9">
        <v>40</v>
      </c>
    </row>
    <row r="25" spans="1:11" ht="15.75" x14ac:dyDescent="0.25">
      <c r="A25" s="4" t="s">
        <v>43</v>
      </c>
      <c r="B25" s="9">
        <v>2</v>
      </c>
      <c r="C25" s="9">
        <v>3</v>
      </c>
      <c r="D25" s="9">
        <v>2</v>
      </c>
      <c r="E25" s="9">
        <v>3</v>
      </c>
      <c r="F25" s="9">
        <v>2</v>
      </c>
      <c r="G25" s="9">
        <v>3</v>
      </c>
      <c r="H25" s="9">
        <v>2</v>
      </c>
      <c r="I25" s="9">
        <v>3</v>
      </c>
      <c r="J25" s="9">
        <v>2</v>
      </c>
      <c r="K25" s="9">
        <v>3</v>
      </c>
    </row>
    <row r="26" spans="1:11" ht="31.5" x14ac:dyDescent="0.25">
      <c r="A26" s="4" t="s">
        <v>71</v>
      </c>
      <c r="B26" s="9">
        <v>13380</v>
      </c>
      <c r="C26" s="9">
        <v>15960</v>
      </c>
      <c r="D26" s="9">
        <v>16040</v>
      </c>
      <c r="E26" s="9">
        <v>27300</v>
      </c>
      <c r="F26" s="9">
        <v>38420</v>
      </c>
      <c r="G26" s="9">
        <v>4760</v>
      </c>
      <c r="H26" s="9">
        <v>23500</v>
      </c>
      <c r="I26" s="9">
        <v>19450</v>
      </c>
      <c r="J26" s="9">
        <v>21360</v>
      </c>
      <c r="K26" s="9">
        <v>14790</v>
      </c>
    </row>
    <row r="27" spans="1:11" ht="15.75" x14ac:dyDescent="0.25">
      <c r="A27" s="13" t="s">
        <v>49</v>
      </c>
      <c r="B27" s="18"/>
      <c r="C27" s="19"/>
      <c r="D27" s="19"/>
      <c r="E27" s="19"/>
      <c r="F27" s="19"/>
      <c r="G27" s="19"/>
      <c r="H27" s="19"/>
      <c r="I27" s="19"/>
      <c r="J27" s="9"/>
      <c r="K27" s="9"/>
    </row>
    <row r="28" spans="1:11" ht="15.75" x14ac:dyDescent="0.25">
      <c r="A28" s="21" t="s">
        <v>54</v>
      </c>
      <c r="B28" s="22">
        <v>1</v>
      </c>
      <c r="C28" s="23">
        <v>2</v>
      </c>
      <c r="D28" s="23">
        <v>3</v>
      </c>
      <c r="E28" s="23">
        <v>4</v>
      </c>
      <c r="F28" s="23">
        <v>2</v>
      </c>
      <c r="G28" s="23">
        <v>1</v>
      </c>
      <c r="H28" s="23">
        <v>4</v>
      </c>
      <c r="I28" s="23">
        <v>3</v>
      </c>
      <c r="J28" s="9">
        <v>3</v>
      </c>
      <c r="K28" s="9">
        <v>2</v>
      </c>
    </row>
    <row r="29" spans="1:11" ht="15.75" x14ac:dyDescent="0.25">
      <c r="A29" s="21" t="s">
        <v>50</v>
      </c>
      <c r="B29" s="22">
        <v>5</v>
      </c>
      <c r="C29" s="23">
        <v>4</v>
      </c>
      <c r="D29" s="23">
        <v>5</v>
      </c>
      <c r="E29" s="23">
        <v>6</v>
      </c>
      <c r="F29" s="23">
        <v>3</v>
      </c>
      <c r="G29" s="23">
        <v>4</v>
      </c>
      <c r="H29" s="23">
        <v>5</v>
      </c>
      <c r="I29" s="23">
        <v>6</v>
      </c>
      <c r="J29" s="9">
        <v>4</v>
      </c>
      <c r="K29" s="9">
        <v>5</v>
      </c>
    </row>
    <row r="30" spans="1:11" ht="15.75" x14ac:dyDescent="0.25">
      <c r="A30" s="24" t="s">
        <v>55</v>
      </c>
      <c r="B30" s="22">
        <v>1</v>
      </c>
      <c r="C30" s="23">
        <v>1</v>
      </c>
      <c r="D30" s="23">
        <v>2</v>
      </c>
      <c r="E30" s="23">
        <v>1</v>
      </c>
      <c r="F30" s="23">
        <v>2</v>
      </c>
      <c r="G30" s="23">
        <v>3</v>
      </c>
      <c r="H30" s="23">
        <v>2</v>
      </c>
      <c r="I30" s="23">
        <v>1</v>
      </c>
      <c r="J30" s="9">
        <v>2</v>
      </c>
      <c r="K30" s="9">
        <v>1</v>
      </c>
    </row>
    <row r="31" spans="1:11" ht="15.75" x14ac:dyDescent="0.25">
      <c r="A31" s="24" t="s">
        <v>51</v>
      </c>
      <c r="B31" s="22">
        <v>1</v>
      </c>
      <c r="C31" s="23">
        <v>2</v>
      </c>
      <c r="D31" s="23">
        <v>3</v>
      </c>
      <c r="E31" s="23">
        <v>1</v>
      </c>
      <c r="F31" s="23">
        <v>2</v>
      </c>
      <c r="G31" s="23">
        <v>3</v>
      </c>
      <c r="H31" s="23">
        <v>1</v>
      </c>
      <c r="I31" s="23">
        <v>2</v>
      </c>
      <c r="J31" s="9">
        <v>3</v>
      </c>
      <c r="K31" s="9">
        <v>1</v>
      </c>
    </row>
    <row r="32" spans="1:11" ht="15.75" x14ac:dyDescent="0.25">
      <c r="A32" s="24" t="s">
        <v>52</v>
      </c>
      <c r="B32" s="22">
        <v>2</v>
      </c>
      <c r="C32" s="23">
        <v>2</v>
      </c>
      <c r="D32" s="23">
        <v>3</v>
      </c>
      <c r="E32" s="23">
        <v>1</v>
      </c>
      <c r="F32" s="23">
        <v>3</v>
      </c>
      <c r="G32" s="23">
        <v>2</v>
      </c>
      <c r="H32" s="23">
        <v>2</v>
      </c>
      <c r="I32" s="23">
        <v>3</v>
      </c>
      <c r="J32" s="9">
        <v>1</v>
      </c>
      <c r="K32" s="9">
        <v>1</v>
      </c>
    </row>
    <row r="33" spans="1:12" ht="15.75" x14ac:dyDescent="0.25">
      <c r="A33" s="21" t="s">
        <v>53</v>
      </c>
      <c r="B33" s="22">
        <v>3</v>
      </c>
      <c r="C33" s="23">
        <v>1</v>
      </c>
      <c r="D33" s="23">
        <v>2</v>
      </c>
      <c r="E33" s="23">
        <v>1</v>
      </c>
      <c r="F33" s="23">
        <v>3</v>
      </c>
      <c r="G33" s="23">
        <v>2</v>
      </c>
      <c r="H33" s="23">
        <v>2</v>
      </c>
      <c r="I33" s="23">
        <v>1</v>
      </c>
      <c r="J33" s="9">
        <v>3</v>
      </c>
      <c r="K33" s="9">
        <v>1</v>
      </c>
    </row>
    <row r="34" spans="1:12" ht="15.75" x14ac:dyDescent="0.25">
      <c r="A34" s="27" t="s">
        <v>56</v>
      </c>
      <c r="B34" s="25"/>
      <c r="C34" s="26"/>
      <c r="D34" s="26"/>
      <c r="E34" s="26"/>
      <c r="F34" s="26"/>
      <c r="G34" s="26"/>
      <c r="H34" s="26"/>
      <c r="I34" s="26"/>
      <c r="J34" s="9"/>
      <c r="K34" s="9"/>
    </row>
    <row r="35" spans="1:12" ht="15.75" x14ac:dyDescent="0.25">
      <c r="A35" s="21" t="s">
        <v>54</v>
      </c>
      <c r="B35" s="25">
        <v>6</v>
      </c>
      <c r="C35" s="26">
        <v>7</v>
      </c>
      <c r="D35" s="26">
        <v>6</v>
      </c>
      <c r="E35" s="26">
        <v>5</v>
      </c>
      <c r="F35" s="26">
        <v>8</v>
      </c>
      <c r="G35" s="26">
        <v>8</v>
      </c>
      <c r="H35" s="26">
        <v>7</v>
      </c>
      <c r="I35" s="26">
        <v>6</v>
      </c>
      <c r="J35" s="9">
        <v>7</v>
      </c>
      <c r="K35" s="9">
        <v>8</v>
      </c>
    </row>
    <row r="36" spans="1:12" ht="15.75" x14ac:dyDescent="0.25">
      <c r="A36" s="21" t="s">
        <v>50</v>
      </c>
      <c r="B36" s="25">
        <v>4</v>
      </c>
      <c r="C36" s="26">
        <v>3</v>
      </c>
      <c r="D36" s="26">
        <v>4</v>
      </c>
      <c r="E36" s="26">
        <v>4</v>
      </c>
      <c r="F36" s="26">
        <v>3</v>
      </c>
      <c r="G36" s="26">
        <v>4</v>
      </c>
      <c r="H36" s="26">
        <v>3</v>
      </c>
      <c r="I36" s="26">
        <v>4</v>
      </c>
      <c r="J36" s="9">
        <v>3</v>
      </c>
      <c r="K36" s="9">
        <v>4</v>
      </c>
    </row>
    <row r="37" spans="1:12" ht="15.75" x14ac:dyDescent="0.25">
      <c r="A37" s="24" t="s">
        <v>55</v>
      </c>
      <c r="B37" s="25">
        <v>5</v>
      </c>
      <c r="C37" s="26">
        <v>5</v>
      </c>
      <c r="D37" s="26">
        <v>4</v>
      </c>
      <c r="E37" s="26">
        <v>6</v>
      </c>
      <c r="F37" s="26">
        <v>5</v>
      </c>
      <c r="G37" s="26">
        <v>5</v>
      </c>
      <c r="H37" s="26">
        <v>4</v>
      </c>
      <c r="I37" s="26">
        <v>6</v>
      </c>
      <c r="J37" s="9">
        <v>5</v>
      </c>
      <c r="K37" s="9">
        <v>4</v>
      </c>
    </row>
    <row r="38" spans="1:12" ht="15.75" x14ac:dyDescent="0.25">
      <c r="A38" s="24" t="s">
        <v>51</v>
      </c>
      <c r="B38" s="25">
        <v>7</v>
      </c>
      <c r="C38" s="26">
        <v>6</v>
      </c>
      <c r="D38" s="26">
        <v>8</v>
      </c>
      <c r="E38" s="26">
        <v>5</v>
      </c>
      <c r="F38" s="26">
        <v>6</v>
      </c>
      <c r="G38" s="26">
        <v>7</v>
      </c>
      <c r="H38" s="26">
        <v>8</v>
      </c>
      <c r="I38" s="26">
        <v>5</v>
      </c>
      <c r="J38" s="9">
        <v>6</v>
      </c>
      <c r="K38" s="9">
        <v>7</v>
      </c>
    </row>
    <row r="39" spans="1:12" ht="15.75" x14ac:dyDescent="0.25">
      <c r="A39" s="24" t="s">
        <v>52</v>
      </c>
      <c r="B39" s="25">
        <v>3</v>
      </c>
      <c r="C39" s="26">
        <v>2</v>
      </c>
      <c r="D39" s="26">
        <v>3</v>
      </c>
      <c r="E39" s="26">
        <v>2</v>
      </c>
      <c r="F39" s="26">
        <v>2</v>
      </c>
      <c r="G39" s="26">
        <v>3</v>
      </c>
      <c r="H39" s="26">
        <v>2</v>
      </c>
      <c r="I39" s="26">
        <v>3</v>
      </c>
      <c r="J39" s="9">
        <v>2</v>
      </c>
      <c r="K39" s="9">
        <v>3</v>
      </c>
    </row>
    <row r="40" spans="1:12" ht="15.75" x14ac:dyDescent="0.25">
      <c r="A40" s="21" t="s">
        <v>53</v>
      </c>
      <c r="B40" s="25">
        <v>2</v>
      </c>
      <c r="C40" s="26">
        <v>2</v>
      </c>
      <c r="D40" s="26">
        <v>3</v>
      </c>
      <c r="E40" s="26">
        <v>1</v>
      </c>
      <c r="F40" s="26">
        <v>2</v>
      </c>
      <c r="G40" s="26">
        <v>2</v>
      </c>
      <c r="H40" s="26">
        <v>1</v>
      </c>
      <c r="I40" s="26">
        <v>3</v>
      </c>
      <c r="J40" s="9">
        <v>2</v>
      </c>
      <c r="K40" s="9">
        <v>2</v>
      </c>
    </row>
    <row r="41" spans="1:12" ht="15.75" x14ac:dyDescent="0.25">
      <c r="A41" s="59" t="s">
        <v>66</v>
      </c>
      <c r="B41" s="22"/>
      <c r="C41" s="23"/>
      <c r="D41" s="23"/>
      <c r="E41" s="23"/>
      <c r="F41" s="23"/>
      <c r="G41" s="23"/>
      <c r="H41" s="23"/>
      <c r="I41" s="23"/>
      <c r="J41" s="9"/>
      <c r="K41" s="9"/>
    </row>
    <row r="42" spans="1:12" ht="15.75" x14ac:dyDescent="0.25">
      <c r="A42" s="24" t="s">
        <v>67</v>
      </c>
      <c r="B42" s="22">
        <v>1</v>
      </c>
      <c r="C42" s="23">
        <v>2</v>
      </c>
      <c r="D42" s="23">
        <v>1</v>
      </c>
      <c r="E42" s="23">
        <v>2</v>
      </c>
      <c r="F42" s="23">
        <v>1</v>
      </c>
      <c r="G42" s="23">
        <v>2</v>
      </c>
      <c r="H42" s="23">
        <v>1</v>
      </c>
      <c r="I42" s="23">
        <v>2</v>
      </c>
      <c r="J42" s="9">
        <v>1</v>
      </c>
      <c r="K42" s="9">
        <v>2</v>
      </c>
    </row>
    <row r="43" spans="1:12" ht="15.75" x14ac:dyDescent="0.25">
      <c r="A43" s="24" t="s">
        <v>34</v>
      </c>
      <c r="B43" s="22">
        <v>1</v>
      </c>
      <c r="C43" s="23">
        <v>2</v>
      </c>
      <c r="D43" s="23">
        <v>3</v>
      </c>
      <c r="E43" s="23">
        <v>1</v>
      </c>
      <c r="F43" s="23">
        <v>2</v>
      </c>
      <c r="G43" s="23">
        <v>3</v>
      </c>
      <c r="H43" s="23">
        <v>1</v>
      </c>
      <c r="I43" s="23">
        <v>2</v>
      </c>
      <c r="J43" s="9">
        <v>3</v>
      </c>
      <c r="K43" s="9">
        <v>1</v>
      </c>
      <c r="L43" s="37"/>
    </row>
    <row r="44" spans="1:12" ht="15.75" x14ac:dyDescent="0.25">
      <c r="A44" s="24" t="s">
        <v>35</v>
      </c>
      <c r="B44" s="22">
        <v>2</v>
      </c>
      <c r="C44" s="23">
        <v>3</v>
      </c>
      <c r="D44" s="23">
        <v>1</v>
      </c>
      <c r="E44" s="23">
        <v>2</v>
      </c>
      <c r="F44" s="23">
        <v>3</v>
      </c>
      <c r="G44" s="23">
        <v>1</v>
      </c>
      <c r="H44" s="23">
        <v>2</v>
      </c>
      <c r="I44" s="23">
        <v>3</v>
      </c>
      <c r="J44" s="9">
        <v>1</v>
      </c>
      <c r="K44" s="9">
        <v>2</v>
      </c>
      <c r="L44" s="28"/>
    </row>
    <row r="45" spans="1:12" ht="15.75" x14ac:dyDescent="0.25">
      <c r="A45" s="60" t="s">
        <v>64</v>
      </c>
      <c r="B45" s="22"/>
      <c r="C45" s="23"/>
      <c r="D45" s="23"/>
      <c r="E45" s="23"/>
      <c r="F45" s="23"/>
      <c r="G45" s="23"/>
      <c r="H45" s="23"/>
      <c r="I45" s="23"/>
      <c r="J45" s="9"/>
      <c r="K45" s="9"/>
      <c r="L45" s="37"/>
    </row>
    <row r="46" spans="1:12" ht="15.75" x14ac:dyDescent="0.25">
      <c r="A46" s="24" t="s">
        <v>33</v>
      </c>
      <c r="B46" s="22">
        <v>3500</v>
      </c>
      <c r="C46" s="23">
        <v>3100</v>
      </c>
      <c r="D46" s="23">
        <v>3150</v>
      </c>
      <c r="E46" s="23">
        <v>2900</v>
      </c>
      <c r="F46" s="23">
        <v>2180</v>
      </c>
      <c r="G46" s="23">
        <v>3010</v>
      </c>
      <c r="H46" s="23">
        <v>2240</v>
      </c>
      <c r="I46" s="23">
        <v>2670</v>
      </c>
      <c r="J46" s="9">
        <v>2550</v>
      </c>
      <c r="K46" s="9">
        <v>3140</v>
      </c>
    </row>
    <row r="47" spans="1:12" ht="15.75" x14ac:dyDescent="0.25">
      <c r="A47" s="24" t="s">
        <v>34</v>
      </c>
      <c r="B47" s="22">
        <v>3160</v>
      </c>
      <c r="C47" s="23">
        <v>2800</v>
      </c>
      <c r="D47" s="23">
        <v>2750</v>
      </c>
      <c r="E47" s="23">
        <v>2210</v>
      </c>
      <c r="F47" s="23">
        <v>1800</v>
      </c>
      <c r="G47" s="23">
        <v>2460</v>
      </c>
      <c r="H47" s="23">
        <v>1900</v>
      </c>
      <c r="I47" s="23">
        <v>2300</v>
      </c>
      <c r="J47" s="9">
        <v>2040</v>
      </c>
      <c r="K47" s="9">
        <v>2760</v>
      </c>
    </row>
    <row r="48" spans="1:12" ht="15.75" x14ac:dyDescent="0.25">
      <c r="A48" s="24" t="s">
        <v>35</v>
      </c>
      <c r="B48" s="22">
        <v>2900</v>
      </c>
      <c r="C48" s="23">
        <v>2580</v>
      </c>
      <c r="D48" s="23">
        <v>2400</v>
      </c>
      <c r="E48" s="23">
        <v>2030</v>
      </c>
      <c r="F48" s="23">
        <v>1750</v>
      </c>
      <c r="G48" s="23">
        <v>2170</v>
      </c>
      <c r="H48" s="23">
        <v>1710</v>
      </c>
      <c r="I48" s="23">
        <v>2055</v>
      </c>
      <c r="J48" s="9">
        <v>1880</v>
      </c>
      <c r="K48" s="9">
        <v>2255</v>
      </c>
    </row>
    <row r="49" spans="1:11" ht="15.75" x14ac:dyDescent="0.25">
      <c r="A49" s="15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spans="1:11" ht="15.75" x14ac:dyDescent="0.25">
      <c r="A50" s="95" t="s">
        <v>39</v>
      </c>
      <c r="B50" s="95"/>
      <c r="C50" s="95"/>
      <c r="D50" s="95"/>
      <c r="E50" s="95"/>
      <c r="F50" s="95"/>
      <c r="G50" s="95"/>
      <c r="H50" s="95"/>
    </row>
    <row r="51" spans="1:11" ht="15.75" x14ac:dyDescent="0.25">
      <c r="A51" s="13" t="s">
        <v>11</v>
      </c>
      <c r="B51" s="14">
        <v>1</v>
      </c>
      <c r="C51" s="14">
        <v>2</v>
      </c>
      <c r="D51" s="14">
        <v>3</v>
      </c>
      <c r="E51" s="14">
        <v>4</v>
      </c>
      <c r="F51" s="14">
        <v>5</v>
      </c>
      <c r="G51" s="14">
        <v>6</v>
      </c>
      <c r="H51" s="14">
        <v>7</v>
      </c>
      <c r="I51" s="16">
        <v>8</v>
      </c>
    </row>
    <row r="52" spans="1:11" ht="15.75" x14ac:dyDescent="0.25">
      <c r="A52" s="13" t="s">
        <v>12</v>
      </c>
      <c r="B52" s="20">
        <f>B23/K18*B53</f>
        <v>4.1308089500860588</v>
      </c>
      <c r="C52" s="20">
        <f>C23/K18*C53</f>
        <v>4.1528399311531841</v>
      </c>
      <c r="D52" s="20">
        <f>D23/K18*D53</f>
        <v>4.4612736660929437</v>
      </c>
      <c r="E52" s="20">
        <f>E23/K18*E53</f>
        <v>7.1339070567986234</v>
      </c>
      <c r="F52" s="20">
        <f>F23/K18*F53</f>
        <v>5.9552495697074015</v>
      </c>
      <c r="G52" s="20">
        <f>G23/K18*G53</f>
        <v>5.8864027538726331</v>
      </c>
      <c r="H52" s="20">
        <f>H23/K18*H53</f>
        <v>5.4506024096385541</v>
      </c>
      <c r="I52" s="20">
        <f>I23/K18*I53</f>
        <v>10.009638554216867</v>
      </c>
    </row>
    <row r="53" spans="1:11" ht="15.75" x14ac:dyDescent="0.25">
      <c r="A53" s="13" t="s">
        <v>13</v>
      </c>
      <c r="B53" s="50">
        <v>1</v>
      </c>
      <c r="C53" s="51">
        <v>1.1599999999999999</v>
      </c>
      <c r="D53" s="51">
        <v>1.35</v>
      </c>
      <c r="E53" s="51">
        <v>1.57</v>
      </c>
      <c r="F53" s="51">
        <v>1.73</v>
      </c>
      <c r="G53" s="51">
        <v>1.9</v>
      </c>
      <c r="H53" s="51">
        <v>2.0299999999999998</v>
      </c>
      <c r="I53" s="51">
        <v>2.17</v>
      </c>
    </row>
    <row r="54" spans="1:11" ht="11.85" customHeight="1" x14ac:dyDescent="0.25">
      <c r="A54" s="52"/>
      <c r="B54" s="54"/>
      <c r="C54" s="55"/>
      <c r="D54" s="55"/>
      <c r="E54" s="55"/>
      <c r="F54" s="55"/>
      <c r="G54" s="55"/>
      <c r="H54" s="55"/>
      <c r="I54" s="55"/>
      <c r="J54" s="37"/>
    </row>
    <row r="55" spans="1:11" ht="15.75" x14ac:dyDescent="0.25">
      <c r="A55" s="91" t="s">
        <v>40</v>
      </c>
      <c r="B55" s="91"/>
      <c r="C55" s="91"/>
      <c r="D55" s="91"/>
      <c r="E55" s="91"/>
      <c r="F55" s="91"/>
      <c r="G55" s="91"/>
      <c r="H55" s="91"/>
      <c r="I55" s="91"/>
    </row>
    <row r="56" spans="1:11" ht="32.85" customHeight="1" x14ac:dyDescent="0.25">
      <c r="A56" s="84" t="s">
        <v>14</v>
      </c>
      <c r="B56" s="84" t="s">
        <v>15</v>
      </c>
      <c r="C56" s="84"/>
      <c r="D56" s="84"/>
      <c r="E56" s="84"/>
      <c r="F56" s="84" t="s">
        <v>16</v>
      </c>
      <c r="G56" s="84"/>
      <c r="H56" s="38"/>
      <c r="I56" s="38"/>
    </row>
    <row r="57" spans="1:11" ht="36.6" customHeight="1" x14ac:dyDescent="0.25">
      <c r="A57" s="84"/>
      <c r="B57" s="83" t="s">
        <v>17</v>
      </c>
      <c r="C57" s="84" t="s">
        <v>68</v>
      </c>
      <c r="D57" s="84"/>
      <c r="E57" s="83" t="s">
        <v>18</v>
      </c>
      <c r="F57" s="84" t="s">
        <v>57</v>
      </c>
      <c r="G57" s="84" t="s">
        <v>19</v>
      </c>
      <c r="H57" s="38"/>
      <c r="I57" s="38"/>
    </row>
    <row r="58" spans="1:11" ht="48.95" customHeight="1" x14ac:dyDescent="0.25">
      <c r="A58" s="84"/>
      <c r="B58" s="83"/>
      <c r="C58" s="53" t="s">
        <v>20</v>
      </c>
      <c r="D58" s="53" t="s">
        <v>21</v>
      </c>
      <c r="E58" s="83"/>
      <c r="F58" s="84"/>
      <c r="G58" s="84"/>
      <c r="H58" s="38"/>
      <c r="I58" s="38"/>
    </row>
    <row r="59" spans="1:11" x14ac:dyDescent="0.25">
      <c r="A59" s="34" t="s">
        <v>22</v>
      </c>
      <c r="B59" s="34"/>
      <c r="C59" s="34"/>
      <c r="D59" s="34"/>
      <c r="E59" s="34"/>
      <c r="F59" s="34"/>
      <c r="G59" s="34"/>
      <c r="H59" s="38"/>
      <c r="I59" s="38"/>
    </row>
    <row r="60" spans="1:11" x14ac:dyDescent="0.25">
      <c r="A60" s="12" t="s">
        <v>36</v>
      </c>
      <c r="B60" s="35">
        <v>8</v>
      </c>
      <c r="C60" s="35">
        <v>2</v>
      </c>
      <c r="D60" s="36">
        <v>6</v>
      </c>
      <c r="E60" s="35">
        <f>K8/K14*D60</f>
        <v>6.954545454545455</v>
      </c>
      <c r="F60" s="35" cm="1">
        <f t="array" ref="F60:F62">E60:E62*K17</f>
        <v>12121.772727272728</v>
      </c>
      <c r="G60" s="35">
        <f>F60*I52</f>
        <v>121334.56363636363</v>
      </c>
      <c r="H60" s="39"/>
      <c r="I60" s="39"/>
    </row>
    <row r="61" spans="1:11" x14ac:dyDescent="0.25">
      <c r="A61" s="12" t="s">
        <v>23</v>
      </c>
      <c r="B61" s="35">
        <v>4</v>
      </c>
      <c r="C61" s="35">
        <v>5</v>
      </c>
      <c r="D61" s="36">
        <v>10</v>
      </c>
      <c r="E61" s="35">
        <f>K8/K14*D61</f>
        <v>11.590909090909092</v>
      </c>
      <c r="F61" s="35">
        <v>20202.954545454548</v>
      </c>
      <c r="G61" s="35">
        <f>F61*E52</f>
        <v>144126.00000000003</v>
      </c>
      <c r="H61" s="39"/>
      <c r="I61" s="39"/>
    </row>
    <row r="62" spans="1:11" x14ac:dyDescent="0.25">
      <c r="A62" s="32" t="s">
        <v>24</v>
      </c>
      <c r="B62" s="31"/>
      <c r="C62" s="45">
        <f>SUM(C60:C61)</f>
        <v>7</v>
      </c>
      <c r="D62" s="45">
        <f>SUM(D60:D61)</f>
        <v>16</v>
      </c>
      <c r="E62" s="45">
        <f>K8/K14*D62</f>
        <v>18.545454545454547</v>
      </c>
      <c r="F62" s="45">
        <v>32324.727272727276</v>
      </c>
      <c r="G62" s="45">
        <f>G60+G61</f>
        <v>265460.56363636366</v>
      </c>
      <c r="H62" s="39"/>
      <c r="I62" s="39"/>
    </row>
    <row r="63" spans="1:11" x14ac:dyDescent="0.25">
      <c r="A63" s="34" t="s">
        <v>25</v>
      </c>
      <c r="B63" s="34"/>
      <c r="C63" s="34"/>
      <c r="D63" s="42"/>
      <c r="E63" s="47"/>
      <c r="F63" s="47"/>
      <c r="G63" s="48"/>
      <c r="H63" s="38"/>
      <c r="I63" s="38"/>
    </row>
    <row r="64" spans="1:11" x14ac:dyDescent="0.25">
      <c r="A64" s="32" t="s">
        <v>44</v>
      </c>
      <c r="B64" s="35">
        <v>4</v>
      </c>
      <c r="C64" s="35">
        <v>1</v>
      </c>
      <c r="D64" s="36">
        <v>3</v>
      </c>
      <c r="E64" s="35">
        <f>K8/K14*D64</f>
        <v>3.4772727272727275</v>
      </c>
      <c r="F64" s="35" cm="1">
        <f t="array" ref="F64:F65">E64:E65*K17</f>
        <v>6060.886363636364</v>
      </c>
      <c r="G64" s="44">
        <f>F64*E52</f>
        <v>43237.8</v>
      </c>
      <c r="H64" s="39"/>
      <c r="I64" s="40"/>
    </row>
    <row r="65" spans="1:9" x14ac:dyDescent="0.25">
      <c r="A65" s="32" t="s">
        <v>45</v>
      </c>
      <c r="B65" s="35">
        <v>7</v>
      </c>
      <c r="C65" s="35">
        <v>1</v>
      </c>
      <c r="D65" s="36">
        <v>3</v>
      </c>
      <c r="E65" s="35">
        <f>K8/K14*D65</f>
        <v>3.4772727272727275</v>
      </c>
      <c r="F65" s="35">
        <v>6060.886363636364</v>
      </c>
      <c r="G65" s="44">
        <f>F65*H52</f>
        <v>33035.481818181819</v>
      </c>
      <c r="H65" s="39"/>
      <c r="I65" s="39"/>
    </row>
    <row r="66" spans="1:9" x14ac:dyDescent="0.25">
      <c r="A66" s="32" t="s">
        <v>24</v>
      </c>
      <c r="B66" s="47"/>
      <c r="C66" s="46">
        <f>+SUM(C64:C65)</f>
        <v>2</v>
      </c>
      <c r="D66" s="46">
        <f>SUM(D64:D65)</f>
        <v>6</v>
      </c>
      <c r="E66" s="46">
        <f>SUM(E64:E65)</f>
        <v>6.954545454545455</v>
      </c>
      <c r="F66" s="46">
        <f>F64+F65</f>
        <v>12121.772727272728</v>
      </c>
      <c r="G66" s="46">
        <f>G64+G65</f>
        <v>76273.281818181829</v>
      </c>
      <c r="H66" s="39"/>
      <c r="I66" s="39"/>
    </row>
    <row r="67" spans="1:9" x14ac:dyDescent="0.25">
      <c r="A67" s="34" t="s">
        <v>26</v>
      </c>
      <c r="B67" s="34"/>
      <c r="C67" s="34"/>
      <c r="D67" s="42"/>
      <c r="E67" s="47"/>
      <c r="F67" s="47"/>
      <c r="G67" s="43"/>
      <c r="H67" s="38"/>
      <c r="I67" s="38"/>
    </row>
    <row r="68" spans="1:9" x14ac:dyDescent="0.25">
      <c r="A68" s="32" t="s">
        <v>46</v>
      </c>
      <c r="B68" s="35">
        <v>3</v>
      </c>
      <c r="C68" s="35">
        <v>1</v>
      </c>
      <c r="D68" s="36">
        <v>3</v>
      </c>
      <c r="E68" s="35">
        <f>K8/K14*D68</f>
        <v>3.4772727272727275</v>
      </c>
      <c r="F68" s="35" cm="1">
        <f t="array" ref="F68:F69">E68:E69*K17</f>
        <v>6060.886363636364</v>
      </c>
      <c r="G68" s="44">
        <f>F68*D52</f>
        <v>27039.272727272732</v>
      </c>
      <c r="H68" s="39"/>
      <c r="I68" s="39"/>
    </row>
    <row r="69" spans="1:9" x14ac:dyDescent="0.25">
      <c r="A69" s="32" t="s">
        <v>47</v>
      </c>
      <c r="B69" s="35">
        <v>2</v>
      </c>
      <c r="C69" s="35">
        <v>1</v>
      </c>
      <c r="D69" s="36">
        <v>3</v>
      </c>
      <c r="E69" s="35">
        <f>K8/K14*D69</f>
        <v>3.4772727272727275</v>
      </c>
      <c r="F69" s="35">
        <v>6060.886363636364</v>
      </c>
      <c r="G69" s="44">
        <f>F69*C52</f>
        <v>25169.890909090911</v>
      </c>
      <c r="H69" s="39"/>
      <c r="I69" s="39"/>
    </row>
    <row r="70" spans="1:9" x14ac:dyDescent="0.25">
      <c r="A70" s="32" t="s">
        <v>24</v>
      </c>
      <c r="B70" s="31"/>
      <c r="C70" s="45">
        <f>SUM(C68:C69)</f>
        <v>2</v>
      </c>
      <c r="D70" s="45">
        <f>SUM(D68:D69)</f>
        <v>6</v>
      </c>
      <c r="E70" s="45">
        <f>SUM(E68:E69)</f>
        <v>6.954545454545455</v>
      </c>
      <c r="F70" s="45">
        <f>F68+F69</f>
        <v>12121.772727272728</v>
      </c>
      <c r="G70" s="46">
        <f>G68+G69</f>
        <v>52209.163636363643</v>
      </c>
      <c r="H70" s="39"/>
      <c r="I70" s="39"/>
    </row>
    <row r="71" spans="1:9" x14ac:dyDescent="0.25">
      <c r="A71" s="32" t="s">
        <v>48</v>
      </c>
      <c r="B71" s="31"/>
      <c r="C71" s="49">
        <f>C66+C70+C62</f>
        <v>11</v>
      </c>
      <c r="D71" s="49">
        <f>D62+D66+D70</f>
        <v>28</v>
      </c>
      <c r="E71" s="49">
        <f>E62+E66+E70</f>
        <v>32.454545454545453</v>
      </c>
      <c r="F71" s="49">
        <f>F62+F66+F70</f>
        <v>56568.272727272728</v>
      </c>
      <c r="G71" s="49">
        <f>G62+G66+G70</f>
        <v>393943.00909090909</v>
      </c>
      <c r="H71" s="39"/>
      <c r="I71" s="39"/>
    </row>
    <row r="72" spans="1:9" x14ac:dyDescent="0.25">
      <c r="H72" s="41"/>
      <c r="I72" s="41"/>
    </row>
    <row r="73" spans="1:9" ht="15.75" x14ac:dyDescent="0.25">
      <c r="A73" s="90" t="s">
        <v>61</v>
      </c>
      <c r="B73" s="90"/>
      <c r="C73" s="90"/>
      <c r="D73" s="90"/>
    </row>
    <row r="74" spans="1:9" ht="14.65" customHeight="1" x14ac:dyDescent="0.25">
      <c r="A74" s="84" t="s">
        <v>60</v>
      </c>
      <c r="B74" s="87" t="s">
        <v>28</v>
      </c>
      <c r="C74" s="88"/>
      <c r="D74" s="89"/>
      <c r="E74" s="29"/>
      <c r="F74" s="29"/>
    </row>
    <row r="75" spans="1:9" ht="48.4" customHeight="1" x14ac:dyDescent="0.25">
      <c r="A75" s="84"/>
      <c r="B75" s="5" t="s">
        <v>59</v>
      </c>
      <c r="C75" s="5" t="s">
        <v>29</v>
      </c>
      <c r="D75" s="5" t="s">
        <v>30</v>
      </c>
      <c r="E75" s="30"/>
      <c r="F75" s="33"/>
    </row>
    <row r="76" spans="1:9" ht="18.75" x14ac:dyDescent="0.25">
      <c r="A76" s="4" t="s">
        <v>89</v>
      </c>
      <c r="B76" s="10">
        <f>G62</f>
        <v>265460.56363636366</v>
      </c>
      <c r="C76" s="10">
        <f>G66</f>
        <v>76273.281818181829</v>
      </c>
      <c r="D76" s="10">
        <f>G70</f>
        <v>52209.163636363643</v>
      </c>
      <c r="F76" s="3"/>
    </row>
    <row r="77" spans="1:9" ht="14.65" customHeight="1" x14ac:dyDescent="0.25">
      <c r="A77" s="4" t="s">
        <v>90</v>
      </c>
      <c r="B77" s="10" cm="1">
        <f t="array" ref="B77:D77">B76:D76*0.6</f>
        <v>159276.3381818182</v>
      </c>
      <c r="C77" s="10">
        <v>45763.969090909093</v>
      </c>
      <c r="D77" s="10">
        <v>31325.498181818184</v>
      </c>
      <c r="E77" s="30"/>
      <c r="F77" s="3"/>
    </row>
    <row r="78" spans="1:9" ht="15.75" x14ac:dyDescent="0.25">
      <c r="A78" s="4" t="s">
        <v>91</v>
      </c>
      <c r="B78" s="10" cm="1">
        <f t="array" ref="B78:D78">B76:D76/3*0.2</f>
        <v>17697.370909090911</v>
      </c>
      <c r="C78" s="10">
        <v>5084.885454545456</v>
      </c>
      <c r="D78" s="10">
        <v>3480.6109090909094</v>
      </c>
      <c r="E78" s="85"/>
      <c r="F78" s="86"/>
    </row>
    <row r="79" spans="1:9" ht="15.75" x14ac:dyDescent="0.25">
      <c r="A79" s="4" t="s">
        <v>92</v>
      </c>
      <c r="B79" s="10" cm="1">
        <f t="array" ref="B79:D79">(B76:D76/3)*0.4</f>
        <v>35394.741818181821</v>
      </c>
      <c r="C79" s="10">
        <v>10169.770909090912</v>
      </c>
      <c r="D79" s="10">
        <v>6961.2218181818189</v>
      </c>
      <c r="E79" s="85"/>
      <c r="F79" s="86"/>
    </row>
    <row r="80" spans="1:9" ht="17.25" customHeight="1" x14ac:dyDescent="0.25">
      <c r="A80" s="4" t="s">
        <v>95</v>
      </c>
      <c r="B80" s="58">
        <f>SUM(B76:B79)</f>
        <v>477829.01454545459</v>
      </c>
      <c r="C80" s="58">
        <f>SUM(C76:C79)</f>
        <v>137291.90727272729</v>
      </c>
      <c r="D80" s="58">
        <f>SUM(D76:D79)</f>
        <v>93976.494545454567</v>
      </c>
      <c r="E80" s="30"/>
      <c r="F80" s="3"/>
    </row>
    <row r="81" spans="1:7" ht="17.25" customHeight="1" x14ac:dyDescent="0.25">
      <c r="A81" s="4" t="s">
        <v>93</v>
      </c>
      <c r="B81" s="61">
        <f>M9/K14*100</f>
        <v>15.454545454545453</v>
      </c>
      <c r="C81" s="61">
        <f>M9/K14*100</f>
        <v>15.454545454545453</v>
      </c>
      <c r="D81" s="61">
        <f>M9/K14*100</f>
        <v>15.454545454545453</v>
      </c>
      <c r="E81" s="30"/>
      <c r="F81" s="3"/>
    </row>
    <row r="82" spans="1:7" ht="16.149999999999999" customHeight="1" x14ac:dyDescent="0.25">
      <c r="A82" s="4" t="s">
        <v>94</v>
      </c>
      <c r="B82" s="58" cm="1">
        <f t="array" ref="B82:D82">B80:D80*B81:D81/100</f>
        <v>73846.302247933883</v>
      </c>
      <c r="C82" s="58">
        <v>21217.840214876036</v>
      </c>
      <c r="D82" s="58">
        <v>14523.640066115704</v>
      </c>
      <c r="E82" s="30"/>
      <c r="F82" s="3"/>
    </row>
    <row r="83" spans="1:7" ht="15.75" x14ac:dyDescent="0.25">
      <c r="A83" s="57" t="s">
        <v>96</v>
      </c>
      <c r="B83" s="77">
        <f>B80+B82</f>
        <v>551675.31679338845</v>
      </c>
      <c r="C83" s="77">
        <f>C80+C82</f>
        <v>158509.74748760334</v>
      </c>
      <c r="D83" s="77">
        <f>D80+D82</f>
        <v>108500.13461157028</v>
      </c>
      <c r="E83" s="29"/>
      <c r="F83" s="29"/>
    </row>
    <row r="85" spans="1:7" ht="15.75" x14ac:dyDescent="0.25">
      <c r="A85" s="91" t="s">
        <v>62</v>
      </c>
      <c r="B85" s="91"/>
      <c r="C85" s="91"/>
      <c r="D85" s="91"/>
      <c r="E85" s="91"/>
      <c r="F85" s="91"/>
      <c r="G85" s="91"/>
    </row>
    <row r="86" spans="1:7" ht="26.85" customHeight="1" x14ac:dyDescent="0.25">
      <c r="A86" s="5" t="s">
        <v>65</v>
      </c>
      <c r="B86" s="83" t="s">
        <v>31</v>
      </c>
      <c r="C86" s="84" t="s">
        <v>64</v>
      </c>
      <c r="D86" s="87" t="s">
        <v>28</v>
      </c>
      <c r="E86" s="88"/>
      <c r="F86" s="88"/>
      <c r="G86" s="89"/>
    </row>
    <row r="87" spans="1:7" ht="53.85" customHeight="1" x14ac:dyDescent="0.25">
      <c r="A87" s="5"/>
      <c r="B87" s="83"/>
      <c r="C87" s="84"/>
      <c r="D87" s="7" t="s">
        <v>63</v>
      </c>
      <c r="E87" s="7" t="s">
        <v>101</v>
      </c>
      <c r="F87" s="7" t="s">
        <v>100</v>
      </c>
      <c r="G87" s="7" t="s">
        <v>32</v>
      </c>
    </row>
    <row r="88" spans="1:7" ht="15.75" x14ac:dyDescent="0.25">
      <c r="A88" s="60" t="s">
        <v>33</v>
      </c>
      <c r="B88" s="10">
        <v>2</v>
      </c>
      <c r="C88" s="10">
        <v>3140</v>
      </c>
      <c r="D88" s="8" cm="1">
        <f t="array" ref="D88:D90">B88:B90*C88:C90*12</f>
        <v>75360</v>
      </c>
      <c r="E88" s="10" cm="1">
        <f t="array" ref="E88:E90">D88:D90*0.4</f>
        <v>30144</v>
      </c>
      <c r="F88" s="10" cm="1">
        <f t="array" ref="F88:F90">D88:D90*B81/100</f>
        <v>11646.545454545454</v>
      </c>
      <c r="G88" s="10">
        <f>SUM(D88:F88)</f>
        <v>117150.54545454546</v>
      </c>
    </row>
    <row r="89" spans="1:7" ht="15.75" x14ac:dyDescent="0.25">
      <c r="A89" s="4" t="s">
        <v>34</v>
      </c>
      <c r="B89" s="10">
        <v>1</v>
      </c>
      <c r="C89" s="10">
        <v>2760</v>
      </c>
      <c r="D89" s="8">
        <v>33120</v>
      </c>
      <c r="E89" s="10">
        <v>13248</v>
      </c>
      <c r="F89" s="10">
        <v>5118.545454545454</v>
      </c>
      <c r="G89" s="10">
        <f>SUM(D89:F89)</f>
        <v>51486.545454545456</v>
      </c>
    </row>
    <row r="90" spans="1:7" ht="15.75" x14ac:dyDescent="0.25">
      <c r="A90" s="4" t="s">
        <v>35</v>
      </c>
      <c r="B90" s="10">
        <v>2</v>
      </c>
      <c r="C90" s="10">
        <v>2255</v>
      </c>
      <c r="D90" s="8">
        <v>54120</v>
      </c>
      <c r="E90" s="10">
        <v>21648</v>
      </c>
      <c r="F90" s="10">
        <v>8363.9999999999982</v>
      </c>
      <c r="G90" s="10">
        <f>SUM(D90:F90)</f>
        <v>84132</v>
      </c>
    </row>
    <row r="91" spans="1:7" ht="15.75" x14ac:dyDescent="0.25">
      <c r="A91" s="4" t="s">
        <v>27</v>
      </c>
      <c r="B91" s="58">
        <f>SUM(B88:B90)</f>
        <v>5</v>
      </c>
      <c r="C91" s="97">
        <f>SUM(C88:C90)</f>
        <v>8155</v>
      </c>
      <c r="D91" s="58">
        <f>SUM(_xlfn.ANCHORARRAY(D88))</f>
        <v>162600</v>
      </c>
      <c r="E91" s="58">
        <f>SUM(_xlfn.ANCHORARRAY(E88))</f>
        <v>65040</v>
      </c>
      <c r="F91" s="58">
        <f>SUM(_xlfn.ANCHORARRAY(F88))</f>
        <v>25129.090909090904</v>
      </c>
      <c r="G91" s="58">
        <f>SUM(G88:G90)</f>
        <v>252769.09090909091</v>
      </c>
    </row>
    <row r="93" spans="1:7" ht="15.75" x14ac:dyDescent="0.25">
      <c r="A93" s="62" t="s">
        <v>69</v>
      </c>
    </row>
    <row r="94" spans="1:7" ht="15.75" x14ac:dyDescent="0.25">
      <c r="A94" s="63" t="s">
        <v>70</v>
      </c>
      <c r="B94" s="6" t="s">
        <v>1</v>
      </c>
    </row>
    <row r="95" spans="1:7" ht="15.75" x14ac:dyDescent="0.25">
      <c r="A95" s="63" t="s">
        <v>72</v>
      </c>
      <c r="B95" s="64">
        <f>G91+G71</f>
        <v>646712.1</v>
      </c>
    </row>
    <row r="96" spans="1:7" ht="15.75" x14ac:dyDescent="0.25">
      <c r="A96" s="63" t="s">
        <v>73</v>
      </c>
      <c r="B96" s="64">
        <f>E71+B91</f>
        <v>37.454545454545453</v>
      </c>
    </row>
    <row r="97" spans="1:2" ht="15.75" x14ac:dyDescent="0.25">
      <c r="A97" s="63" t="s">
        <v>74</v>
      </c>
      <c r="B97" s="65"/>
    </row>
    <row r="98" spans="1:2" ht="15.75" x14ac:dyDescent="0.25">
      <c r="A98" s="63" t="s">
        <v>75</v>
      </c>
      <c r="B98" s="65"/>
    </row>
    <row r="99" spans="1:2" ht="19.899999999999999" customHeight="1" x14ac:dyDescent="0.25">
      <c r="A99" s="63" t="s">
        <v>76</v>
      </c>
      <c r="B99" s="65"/>
    </row>
    <row r="100" spans="1:2" ht="29.65" customHeight="1" x14ac:dyDescent="0.25">
      <c r="A100" s="63" t="s">
        <v>109</v>
      </c>
      <c r="B100" s="65"/>
    </row>
    <row r="101" spans="1:2" ht="31.5" x14ac:dyDescent="0.25">
      <c r="A101" s="63" t="s">
        <v>77</v>
      </c>
      <c r="B101" s="65"/>
    </row>
  </sheetData>
  <mergeCells count="23">
    <mergeCell ref="A73:D73"/>
    <mergeCell ref="A85:G85"/>
    <mergeCell ref="A3:K3"/>
    <mergeCell ref="B4:K4"/>
    <mergeCell ref="A50:H50"/>
    <mergeCell ref="A20:H20"/>
    <mergeCell ref="B21:K21"/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  <mergeCell ref="B86:B87"/>
    <mergeCell ref="C86:C87"/>
    <mergeCell ref="E78:E79"/>
    <mergeCell ref="F78:F79"/>
    <mergeCell ref="A74:A75"/>
    <mergeCell ref="D86:G86"/>
    <mergeCell ref="B74:D7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opLeftCell="A14" workbookViewId="0">
      <selection activeCell="D14" sqref="D14"/>
    </sheetView>
  </sheetViews>
  <sheetFormatPr defaultRowHeight="15" x14ac:dyDescent="0.25"/>
  <cols>
    <col min="1" max="1" width="110.28515625" customWidth="1"/>
  </cols>
  <sheetData>
    <row r="1" spans="1:1" ht="18.75" x14ac:dyDescent="0.25">
      <c r="A1" s="68" t="s">
        <v>80</v>
      </c>
    </row>
    <row r="2" spans="1:1" ht="18.75" x14ac:dyDescent="0.25">
      <c r="A2" s="73" t="s">
        <v>81</v>
      </c>
    </row>
    <row r="3" spans="1:1" ht="63" x14ac:dyDescent="0.25">
      <c r="A3" s="69" t="s">
        <v>82</v>
      </c>
    </row>
    <row r="4" spans="1:1" ht="15.75" x14ac:dyDescent="0.25">
      <c r="A4" s="70"/>
    </row>
    <row r="5" spans="1:1" ht="63" x14ac:dyDescent="0.25">
      <c r="A5" s="71" t="s">
        <v>84</v>
      </c>
    </row>
    <row r="6" spans="1:1" ht="15.75" x14ac:dyDescent="0.25">
      <c r="A6" s="70"/>
    </row>
    <row r="7" spans="1:1" ht="15.75" x14ac:dyDescent="0.25">
      <c r="A7" s="74" t="s">
        <v>85</v>
      </c>
    </row>
    <row r="8" spans="1:1" ht="15.75" x14ac:dyDescent="0.25">
      <c r="A8" s="70"/>
    </row>
    <row r="9" spans="1:1" ht="31.5" x14ac:dyDescent="0.25">
      <c r="A9" s="75" t="s">
        <v>86</v>
      </c>
    </row>
    <row r="10" spans="1:1" ht="15.75" x14ac:dyDescent="0.25">
      <c r="A10" s="70" t="s">
        <v>107</v>
      </c>
    </row>
    <row r="11" spans="1:1" ht="31.5" x14ac:dyDescent="0.25">
      <c r="A11" s="69" t="s">
        <v>87</v>
      </c>
    </row>
    <row r="12" spans="1:1" ht="15.75" x14ac:dyDescent="0.25">
      <c r="A12" s="70"/>
    </row>
    <row r="13" spans="1:1" ht="126" x14ac:dyDescent="0.25">
      <c r="A13" s="76" t="s">
        <v>88</v>
      </c>
    </row>
    <row r="14" spans="1:1" ht="69" x14ac:dyDescent="0.25">
      <c r="A14" s="79" t="s">
        <v>98</v>
      </c>
    </row>
    <row r="15" spans="1:1" ht="18.75" x14ac:dyDescent="0.25">
      <c r="A15" s="56" t="s">
        <v>108</v>
      </c>
    </row>
    <row r="16" spans="1:1" ht="110.25" x14ac:dyDescent="0.25">
      <c r="A16" s="78" t="s">
        <v>99</v>
      </c>
    </row>
    <row r="17" spans="1:1" ht="15.75" x14ac:dyDescent="0.25">
      <c r="A17" s="56" t="s">
        <v>97</v>
      </c>
    </row>
    <row r="18" spans="1:1" ht="15.75" x14ac:dyDescent="0.25">
      <c r="A18" s="56" t="s">
        <v>111</v>
      </c>
    </row>
    <row r="19" spans="1:1" ht="78.75" x14ac:dyDescent="0.25">
      <c r="A19" s="80" t="s">
        <v>105</v>
      </c>
    </row>
    <row r="21" spans="1:1" ht="47.25" x14ac:dyDescent="0.25">
      <c r="A21" s="72" t="s">
        <v>106</v>
      </c>
    </row>
    <row r="22" spans="1:1" ht="18.75" x14ac:dyDescent="0.35">
      <c r="A22" s="82" t="s">
        <v>102</v>
      </c>
    </row>
    <row r="23" spans="1:1" ht="18.75" x14ac:dyDescent="0.35">
      <c r="A23" s="82" t="s">
        <v>103</v>
      </c>
    </row>
    <row r="24" spans="1:1" ht="34.5" x14ac:dyDescent="0.25">
      <c r="A24" s="81" t="s">
        <v>104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Алексей Мандрик</cp:lastModifiedBy>
  <dcterms:created xsi:type="dcterms:W3CDTF">2024-02-22T06:33:23Z</dcterms:created>
  <dcterms:modified xsi:type="dcterms:W3CDTF">2026-03-13T07:56:26Z</dcterms:modified>
</cp:coreProperties>
</file>